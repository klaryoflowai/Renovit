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ow_To" sheetId="1" r:id="rId1"/>
    <sheet name="Inputs" sheetId="2" r:id="rId2"/>
    <sheet name="Capacity_Phases" sheetId="3" r:id="rId3"/>
    <sheet name="Equipment_Costs" sheetId="4" r:id="rId4"/>
    <sheet name="Strategy_Rates" sheetId="5" r:id="rId5"/>
    <sheet name="Scenario_Matrix" sheetId="6" r:id="rId6"/>
    <sheet name="Sensitivity" sheetId="7" r:id="rId7"/>
    <sheet name="Decision_Summary" sheetId="8" r:id="rId8"/>
  </sheets>
  <calcPr calcId="0" fullCalcOnLoad="1" forceFullCalc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RENOVIT Economic Simulation Model</t>
        </is>
      </c>
    </row>
    <row r="2">
      <c r="A2" t="inlineStr">
        <is>
          <t>Purpose</t>
        </is>
      </c>
      <c r="B2" t="inlineStr">
        <is>
          <t>Compare used vs hybrid vs new equipment across 3k 5k 10k 20k t/year capacity scenarios.</t>
        </is>
      </c>
    </row>
    <row r="3">
      <c r="A3" t="inlineStr">
        <is>
          <t>How to use</t>
        </is>
      </c>
      <c r="B3" t="inlineStr">
        <is>
          <t>Edit Inputs and Equipment_Costs. Scenario_Matrix recalculates formulas when opened in Excel or compatible spreadsheet.</t>
        </is>
      </c>
    </row>
    <row r="4">
      <c r="A4" t="inlineStr">
        <is>
          <t>Canonical product</t>
        </is>
      </c>
      <c r="B4" t="inlineStr">
        <is>
          <t>Tencuiala gipsata ambalata in sac 25kg.</t>
        </is>
      </c>
    </row>
    <row r="5">
      <c r="A5" t="inlineStr">
        <is>
          <t>No tax layer</t>
        </is>
      </c>
      <c r="B5" t="inlineStr">
        <is>
          <t>VAT and corporate tax are intentionally excluded from this feasibility cockpit.</t>
        </is>
      </c>
    </row>
    <row r="6">
      <c r="A6" t="inlineStr">
        <is>
          <t>Optional financing</t>
        </is>
      </c>
      <c r="B6" t="inlineStr">
        <is>
          <t>Set financing_enabled to 1 or 0 in Inputs. Debt service affects cash after debt but not operating EBITDA.</t>
        </is>
      </c>
    </row>
    <row r="7">
      <c r="A7" t="inlineStr">
        <is>
          <t>Source folder</t>
        </is>
      </c>
      <c r="B7" t="inlineStr">
        <is>
          <t>data/finance/simulation/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Category</t>
        </is>
      </c>
      <c r="B1" t="inlineStr">
        <is>
          <t>Key</t>
        </is>
      </c>
      <c r="C1" t="inlineStr">
        <is>
          <t>Label</t>
        </is>
      </c>
      <c r="D1" t="inlineStr">
        <is>
          <t>Value</t>
        </is>
      </c>
      <c r="E1" t="inlineStr">
        <is>
          <t>Unit</t>
        </is>
      </c>
      <c r="F1" t="inlineStr">
        <is>
          <t>Notes</t>
        </is>
      </c>
    </row>
    <row r="2">
      <c r="A2" t="inlineStr">
        <is>
          <t>Product</t>
        </is>
      </c>
      <c r="B2" t="inlineStr">
        <is>
          <t>target_bag_kg</t>
        </is>
      </c>
      <c r="C2" t="inlineStr">
        <is>
          <t>Target bag size</t>
        </is>
      </c>
      <c r="D2">
        <v>25</v>
      </c>
      <c r="E2" t="inlineStr">
        <is>
          <t>kg</t>
        </is>
      </c>
      <c r="F2" t="inlineStr">
        <is>
          <t>Canonical RENOVIT packaging decision</t>
        </is>
      </c>
    </row>
    <row r="3">
      <c r="A3" t="inlineStr">
        <is>
          <t>Product</t>
        </is>
      </c>
      <c r="B3" t="inlineStr">
        <is>
          <t>bags_per_pallet</t>
        </is>
      </c>
      <c r="C3" t="inlineStr">
        <is>
          <t>Bags per pallet</t>
        </is>
      </c>
      <c r="D3">
        <v>48</v>
      </c>
      <c r="E3" t="inlineStr">
        <is>
          <t>bags</t>
        </is>
      </c>
      <c r="F3" t="inlineStr">
        <is>
          <t>Working logistics assumption</t>
        </is>
      </c>
    </row>
    <row r="4">
      <c r="A4" t="inlineStr">
        <is>
          <t>Revenue</t>
        </is>
      </c>
      <c r="B4" t="inlineStr">
        <is>
          <t>selling_price_eur_per_ton</t>
        </is>
      </c>
      <c r="C4" t="inlineStr">
        <is>
          <t>Wholesale selling price</t>
        </is>
      </c>
      <c r="D4">
        <v>120</v>
      </c>
      <c r="E4" t="inlineStr">
        <is>
          <t>EUR/t</t>
        </is>
      </c>
      <c r="F4" t="inlineStr">
        <is>
          <t>Equivalent to 3 EUR per 25kg bag</t>
        </is>
      </c>
    </row>
    <row r="5">
      <c r="A5" t="inlineStr">
        <is>
          <t>Production</t>
        </is>
      </c>
      <c r="B5" t="inlineStr">
        <is>
          <t>process_yield</t>
        </is>
      </c>
      <c r="C5" t="inlineStr">
        <is>
          <t>Raw to finished yield</t>
        </is>
      </c>
      <c r="D5">
        <v>0.75</v>
      </c>
      <c r="E5" t="inlineStr">
        <is>
          <t>ratio</t>
        </is>
      </c>
      <c r="F5" t="inlineStr">
        <is>
          <t>Raw gypsum to finished packaged product</t>
        </is>
      </c>
    </row>
    <row r="6">
      <c r="A6" t="inlineStr">
        <is>
          <t>Raw material</t>
        </is>
      </c>
      <c r="B6" t="inlineStr">
        <is>
          <t>extraction_cost_eur_per_raw_t</t>
        </is>
      </c>
      <c r="C6" t="inlineStr">
        <is>
          <t>Extraction cost</t>
        </is>
      </c>
      <c r="D6">
        <v>8</v>
      </c>
      <c r="E6" t="inlineStr">
        <is>
          <t>EUR/raw t</t>
        </is>
      </c>
      <c r="F6" t="inlineStr">
        <is>
          <t>Partner data needed</t>
        </is>
      </c>
    </row>
    <row r="7">
      <c r="A7" t="inlineStr">
        <is>
          <t>Raw material</t>
        </is>
      </c>
      <c r="B7" t="inlineStr">
        <is>
          <t>quarry_to_plant_transport_eur_per_raw_t</t>
        </is>
      </c>
      <c r="C7" t="inlineStr">
        <is>
          <t>Quarry to plant transport</t>
        </is>
      </c>
      <c r="D7">
        <v>4</v>
      </c>
      <c r="E7" t="inlineStr">
        <is>
          <t>EUR/raw t</t>
        </is>
      </c>
      <c r="F7" t="inlineStr">
        <is>
          <t>Depends on plant location</t>
        </is>
      </c>
    </row>
    <row r="8">
      <c r="A8" t="inlineStr">
        <is>
          <t>Processing</t>
        </is>
      </c>
      <c r="B8" t="inlineStr">
        <is>
          <t>calcination_eur_per_finished_t</t>
        </is>
      </c>
      <c r="C8" t="inlineStr">
        <is>
          <t>Calcination cost</t>
        </is>
      </c>
      <c r="D8">
        <v>15</v>
      </c>
      <c r="E8" t="inlineStr">
        <is>
          <t>EUR/t</t>
        </is>
      </c>
      <c r="F8" t="inlineStr">
        <is>
          <t>Energy and kiln operation</t>
        </is>
      </c>
    </row>
    <row r="9">
      <c r="A9" t="inlineStr">
        <is>
          <t>Processing</t>
        </is>
      </c>
      <c r="B9" t="inlineStr">
        <is>
          <t>grinding_eur_per_finished_t</t>
        </is>
      </c>
      <c r="C9" t="inlineStr">
        <is>
          <t>Grinding cost</t>
        </is>
      </c>
      <c r="D9">
        <v>8</v>
      </c>
      <c r="E9" t="inlineStr">
        <is>
          <t>EUR/t</t>
        </is>
      </c>
      <c r="F9" t="inlineStr">
        <is>
          <t>Fine grinding to target fineness</t>
        </is>
      </c>
    </row>
    <row r="10">
      <c r="A10" t="inlineStr">
        <is>
          <t>Processing</t>
        </is>
      </c>
      <c r="B10" t="inlineStr">
        <is>
          <t>additives_eur_per_finished_t</t>
        </is>
      </c>
      <c r="C10" t="inlineStr">
        <is>
          <t>Additives cost</t>
        </is>
      </c>
      <c r="D10">
        <v>8</v>
      </c>
      <c r="E10" t="inlineStr">
        <is>
          <t>EUR/t</t>
        </is>
      </c>
      <c r="F10" t="inlineStr">
        <is>
          <t>Retarder and product performance additives</t>
        </is>
      </c>
    </row>
    <row r="11">
      <c r="A11" t="inlineStr">
        <is>
          <t>Processing</t>
        </is>
      </c>
      <c r="B11" t="inlineStr">
        <is>
          <t>direct_labor_eur_per_finished_t</t>
        </is>
      </c>
      <c r="C11" t="inlineStr">
        <is>
          <t>Direct labor</t>
        </is>
      </c>
      <c r="D11">
        <v>7</v>
      </c>
      <c r="E11" t="inlineStr">
        <is>
          <t>EUR/t</t>
        </is>
      </c>
      <c r="F11" t="inlineStr">
        <is>
          <t>Production labor</t>
        </is>
      </c>
    </row>
    <row r="12">
      <c r="A12" t="inlineStr">
        <is>
          <t>Packaging</t>
        </is>
      </c>
      <c r="B12" t="inlineStr">
        <is>
          <t>bag_packaging_eur_per_bag</t>
        </is>
      </c>
      <c r="C12" t="inlineStr">
        <is>
          <t>Bag and label cost</t>
        </is>
      </c>
      <c r="D12">
        <v>0.15</v>
      </c>
      <c r="E12" t="inlineStr">
        <is>
          <t>EUR/bag</t>
        </is>
      </c>
      <c r="F12" t="inlineStr">
        <is>
          <t>25kg bag and labeling</t>
        </is>
      </c>
    </row>
    <row r="13">
      <c r="A13" t="inlineStr">
        <is>
          <t>Logistics</t>
        </is>
      </c>
      <c r="B13" t="inlineStr">
        <is>
          <t>distribution_eur_per_finished_t</t>
        </is>
      </c>
      <c r="C13" t="inlineStr">
        <is>
          <t>Distribution cost</t>
        </is>
      </c>
      <c r="D13">
        <v>6</v>
      </c>
      <c r="E13" t="inlineStr">
        <is>
          <t>EUR/t</t>
        </is>
      </c>
      <c r="F13" t="inlineStr">
        <is>
          <t>Finished goods local logistics</t>
        </is>
      </c>
    </row>
    <row r="14">
      <c r="A14" t="inlineStr">
        <is>
          <t>Other</t>
        </is>
      </c>
      <c r="B14" t="inlineStr">
        <is>
          <t>other_variable_eur_per_finished_t</t>
        </is>
      </c>
      <c r="C14" t="inlineStr">
        <is>
          <t>Other variable cost</t>
        </is>
      </c>
      <c r="D14">
        <v>3</v>
      </c>
      <c r="E14" t="inlineStr">
        <is>
          <t>EUR/t</t>
        </is>
      </c>
      <c r="F14" t="inlineStr">
        <is>
          <t>Spares losses and handling</t>
        </is>
      </c>
    </row>
    <row r="15">
      <c r="A15" t="inlineStr">
        <is>
          <t>Fixed</t>
        </is>
      </c>
      <c r="B15" t="inlineStr">
        <is>
          <t>fixed_opex_eur_per_month</t>
        </is>
      </c>
      <c r="C15" t="inlineStr">
        <is>
          <t>Fixed operating cost</t>
        </is>
      </c>
      <c r="D15">
        <v>8000</v>
      </c>
      <c r="E15" t="inlineStr">
        <is>
          <t>EUR/month</t>
        </is>
      </c>
      <c r="F15" t="inlineStr">
        <is>
          <t>Admin sales warehouse and base overhead</t>
        </is>
      </c>
    </row>
    <row r="16">
      <c r="A16" t="inlineStr">
        <is>
          <t>Working capital</t>
        </is>
      </c>
      <c r="B16" t="inlineStr">
        <is>
          <t>working_capital_months</t>
        </is>
      </c>
      <c r="C16" t="inlineStr">
        <is>
          <t>Working capital buffer</t>
        </is>
      </c>
      <c r="D16">
        <v>1.5</v>
      </c>
      <c r="E16" t="inlineStr">
        <is>
          <t>months</t>
        </is>
      </c>
      <c r="F16" t="inlineStr">
        <is>
          <t>Months of variable plus fixed cost to fund</t>
        </is>
      </c>
    </row>
    <row r="17">
      <c r="A17" t="inlineStr">
        <is>
          <t>Financing</t>
        </is>
      </c>
      <c r="B17" t="inlineStr">
        <is>
          <t>financing_enabled</t>
        </is>
      </c>
      <c r="C17" t="inlineStr">
        <is>
          <t>Financing enabled</t>
        </is>
      </c>
      <c r="D17">
        <v>1</v>
      </c>
      <c r="E17" t="inlineStr">
        <is>
          <t>0/1</t>
        </is>
      </c>
      <c r="F17" t="inlineStr">
        <is>
          <t>1 means model debt service</t>
        </is>
      </c>
    </row>
    <row r="18">
      <c r="A18" t="inlineStr">
        <is>
          <t>Financing</t>
        </is>
      </c>
      <c r="B18" t="inlineStr">
        <is>
          <t>financed_share</t>
        </is>
      </c>
      <c r="C18" t="inlineStr">
        <is>
          <t>Financed share of funding need</t>
        </is>
      </c>
      <c r="D18">
        <v>0.4</v>
      </c>
      <c r="E18" t="inlineStr">
        <is>
          <t>ratio</t>
        </is>
      </c>
      <c r="F18" t="inlineStr">
        <is>
          <t>Optional debt share</t>
        </is>
      </c>
    </row>
    <row r="19">
      <c r="A19" t="inlineStr">
        <is>
          <t>Financing</t>
        </is>
      </c>
      <c r="B19" t="inlineStr">
        <is>
          <t>interest_rate_annual</t>
        </is>
      </c>
      <c r="C19" t="inlineStr">
        <is>
          <t>Annual interest rate</t>
        </is>
      </c>
      <c r="D19">
        <v>0.09</v>
      </c>
      <c r="E19" t="inlineStr">
        <is>
          <t>ratio</t>
        </is>
      </c>
      <c r="F19" t="inlineStr">
        <is>
          <t>Working loan assumption</t>
        </is>
      </c>
    </row>
    <row r="20">
      <c r="A20" t="inlineStr">
        <is>
          <t>Financing</t>
        </is>
      </c>
      <c r="B20" t="inlineStr">
        <is>
          <t>loan_term_years</t>
        </is>
      </c>
      <c r="C20" t="inlineStr">
        <is>
          <t>Loan term</t>
        </is>
      </c>
      <c r="D20">
        <v>5</v>
      </c>
      <c r="E20" t="inlineStr">
        <is>
          <t>years</t>
        </is>
      </c>
      <c r="F20" t="inlineStr">
        <is>
          <t>Optional debt term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Scenario</t>
        </is>
      </c>
      <c r="B1" t="inlineStr">
        <is>
          <t>Phase</t>
        </is>
      </c>
      <c r="C1" t="inlineStr">
        <is>
          <t>Capacity t/year</t>
        </is>
      </c>
      <c r="D1" t="inlineStr">
        <is>
          <t>Capacity t/month</t>
        </is>
      </c>
      <c r="E1" t="inlineStr">
        <is>
          <t>Default utilization</t>
        </is>
      </c>
      <c r="F1" t="inlineStr">
        <is>
          <t>Canonical verdict</t>
        </is>
      </c>
      <c r="G1" t="inlineStr">
        <is>
          <t>Key gate</t>
        </is>
      </c>
      <c r="H1" t="inlineStr">
        <is>
          <t>Notes</t>
        </is>
      </c>
    </row>
    <row r="2">
      <c r="A2" t="inlineStr">
        <is>
          <t>Pilot</t>
        </is>
      </c>
      <c r="B2" t="inlineStr">
        <is>
          <t>Phase 0/1</t>
        </is>
      </c>
      <c r="C2">
        <v>3000</v>
      </c>
      <c r="D2">
        <v>250</v>
      </c>
      <c r="E2">
        <v>0.6</v>
      </c>
      <c r="F2" t="inlineStr">
        <is>
          <t>Risk</t>
        </is>
      </c>
      <c r="G2" t="inlineStr">
        <is>
          <t>Market validation only</t>
        </is>
      </c>
      <c r="H2" t="inlineStr">
        <is>
          <t>Small pilot can reduce risk but may underuse fixed costs</t>
        </is>
      </c>
    </row>
    <row r="3">
      <c r="A3" t="inlineStr">
        <is>
          <t>Start optimal</t>
        </is>
      </c>
      <c r="B3" t="inlineStr">
        <is>
          <t>Phase 1</t>
        </is>
      </c>
      <c r="C3">
        <v>5000</v>
      </c>
      <c r="D3">
        <v>417</v>
      </c>
      <c r="E3">
        <v>0.7</v>
      </c>
      <c r="F3" t="inlineStr">
        <is>
          <t>START OPTIMAL</t>
        </is>
      </c>
      <c r="G3" t="inlineStr">
        <is>
          <t>Quality plus buyer validation</t>
        </is>
      </c>
      <c r="H3" t="inlineStr">
        <is>
          <t>Default industrial starting point</t>
        </is>
      </c>
    </row>
    <row r="4">
      <c r="A4" t="inlineStr">
        <is>
          <t>Scale-up</t>
        </is>
      </c>
      <c r="B4" t="inlineStr">
        <is>
          <t>Phase 2</t>
        </is>
      </c>
      <c r="C4">
        <v>10000</v>
      </c>
      <c r="D4">
        <v>833</v>
      </c>
      <c r="E4">
        <v>0.75</v>
      </c>
      <c r="F4" t="inlineStr">
        <is>
          <t>Scalable</t>
        </is>
      </c>
      <c r="G4" t="inlineStr">
        <is>
          <t>Demand above phase 1 capacity</t>
        </is>
      </c>
      <c r="H4" t="inlineStr">
        <is>
          <t>Add modules after stable production</t>
        </is>
      </c>
    </row>
    <row r="5">
      <c r="A5" t="inlineStr">
        <is>
          <t>Industrial</t>
        </is>
      </c>
      <c r="B5" t="inlineStr">
        <is>
          <t>Phase 3</t>
        </is>
      </c>
      <c r="C5">
        <v>20000</v>
      </c>
      <c r="D5">
        <v>1667</v>
      </c>
      <c r="E5">
        <v>0.8</v>
      </c>
      <c r="F5" t="inlineStr">
        <is>
          <t>Industrial</t>
        </is>
      </c>
      <c r="G5" t="inlineStr">
        <is>
          <t>Financing plus distribution capacity</t>
        </is>
      </c>
      <c r="H5" t="inlineStr">
        <is>
          <t>Requires stronger team and market access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Strategy</t>
        </is>
      </c>
      <c r="B1" t="inlineStr">
        <is>
          <t>Item</t>
        </is>
      </c>
      <c r="C1" t="inlineStr">
        <is>
          <t>Cost EUR 5k base</t>
        </is>
      </c>
      <c r="D1" t="inlineStr">
        <is>
          <t>Phase</t>
        </is>
      </c>
      <c r="E1" t="inlineStr">
        <is>
          <t>Notes</t>
        </is>
      </c>
    </row>
    <row r="2">
      <c r="A2" t="inlineStr">
        <is>
          <t>used</t>
        </is>
      </c>
      <c r="B2" t="inlineStr">
        <is>
          <t>Calcination caldron or drum</t>
        </is>
      </c>
      <c r="C2">
        <v>90000</v>
      </c>
      <c r="D2" t="inlineStr">
        <is>
          <t>Phase 1</t>
        </is>
      </c>
      <c r="E2" t="inlineStr">
        <is>
          <t>Used or refurbished core kiln</t>
        </is>
      </c>
    </row>
    <row r="3">
      <c r="A3" t="inlineStr">
        <is>
          <t>used</t>
        </is>
      </c>
      <c r="B3" t="inlineStr">
        <is>
          <t>Grinding and mixer package</t>
        </is>
      </c>
      <c r="C3">
        <v>40000</v>
      </c>
      <c r="D3" t="inlineStr">
        <is>
          <t>Phase 1</t>
        </is>
      </c>
      <c r="E3" t="inlineStr">
        <is>
          <t>Used package or separate machines</t>
        </is>
      </c>
    </row>
    <row r="4">
      <c r="A4" t="inlineStr">
        <is>
          <t>used</t>
        </is>
      </c>
      <c r="B4" t="inlineStr">
        <is>
          <t>25kg bagging line</t>
        </is>
      </c>
      <c r="C4">
        <v>30000</v>
      </c>
      <c r="D4" t="inlineStr">
        <is>
          <t>Phase 1</t>
        </is>
      </c>
      <c r="E4" t="inlineStr">
        <is>
          <t>Used bag filling sealing and printing</t>
        </is>
      </c>
    </row>
    <row r="5">
      <c r="A5" t="inlineStr">
        <is>
          <t>used</t>
        </is>
      </c>
      <c r="B5" t="inlineStr">
        <is>
          <t>Silo and internal logistics</t>
        </is>
      </c>
      <c r="C5">
        <v>22500</v>
      </c>
      <c r="D5" t="inlineStr">
        <is>
          <t>Phase 1</t>
        </is>
      </c>
      <c r="E5" t="inlineStr">
        <is>
          <t>Used or local fabrication</t>
        </is>
      </c>
    </row>
    <row r="6">
      <c r="A6" t="inlineStr">
        <is>
          <t>used</t>
        </is>
      </c>
      <c r="B6" t="inlineStr">
        <is>
          <t>Jaw crusher</t>
        </is>
      </c>
      <c r="C6">
        <v>25000</v>
      </c>
      <c r="D6" t="inlineStr">
        <is>
          <t>Phase 1</t>
        </is>
      </c>
      <c r="E6" t="inlineStr">
        <is>
          <t>Only if feed size requires crushing</t>
        </is>
      </c>
    </row>
    <row r="7">
      <c r="A7" t="inlineStr">
        <is>
          <t>used</t>
        </is>
      </c>
      <c r="B7" t="inlineStr">
        <is>
          <t>Dust collection and filters</t>
        </is>
      </c>
      <c r="C7">
        <v>25000</v>
      </c>
      <c r="D7" t="inlineStr">
        <is>
          <t>Phase 1</t>
        </is>
      </c>
      <c r="E7" t="inlineStr">
        <is>
          <t>Do not ignore environment and worker safety</t>
        </is>
      </c>
    </row>
    <row r="8">
      <c r="A8" t="inlineStr">
        <is>
          <t>used</t>
        </is>
      </c>
      <c r="B8" t="inlineStr">
        <is>
          <t>Electrical works</t>
        </is>
      </c>
      <c r="C8">
        <v>30000</v>
      </c>
      <c r="D8" t="inlineStr">
        <is>
          <t>Phase 1</t>
        </is>
      </c>
      <c r="E8" t="inlineStr">
        <is>
          <t>Power connection and panels</t>
        </is>
      </c>
    </row>
    <row r="9">
      <c r="A9" t="inlineStr">
        <is>
          <t>used</t>
        </is>
      </c>
      <c r="B9" t="inlineStr">
        <is>
          <t>Gas or fuel system</t>
        </is>
      </c>
      <c r="C9">
        <v>20000</v>
      </c>
      <c r="D9" t="inlineStr">
        <is>
          <t>Phase 1</t>
        </is>
      </c>
      <c r="E9" t="inlineStr">
        <is>
          <t>Burner connection or fuel system</t>
        </is>
      </c>
    </row>
    <row r="10">
      <c r="A10" t="inlineStr">
        <is>
          <t>used</t>
        </is>
      </c>
      <c r="B10" t="inlineStr">
        <is>
          <t>Forklift and warehouse handling</t>
        </is>
      </c>
      <c r="C10">
        <v>12000</v>
      </c>
      <c r="D10" t="inlineStr">
        <is>
          <t>Phase 1</t>
        </is>
      </c>
      <c r="E10" t="inlineStr">
        <is>
          <t>Used forklift and simple handling</t>
        </is>
      </c>
    </row>
    <row r="11">
      <c r="A11" t="inlineStr">
        <is>
          <t>used</t>
        </is>
      </c>
      <c r="B11" t="inlineStr">
        <is>
          <t>Minimum quality lab</t>
        </is>
      </c>
      <c r="C11">
        <v>10000</v>
      </c>
      <c r="D11" t="inlineStr">
        <is>
          <t>Phase 1</t>
        </is>
      </c>
      <c r="E11" t="inlineStr">
        <is>
          <t>Vicat balance sieves press baseline</t>
        </is>
      </c>
    </row>
    <row r="12">
      <c r="A12" t="inlineStr">
        <is>
          <t>used</t>
        </is>
      </c>
      <c r="B12" t="inlineStr">
        <is>
          <t>Installation and commissioning</t>
        </is>
      </c>
      <c r="C12">
        <v>25000</v>
      </c>
      <c r="D12" t="inlineStr">
        <is>
          <t>Phase 1</t>
        </is>
      </c>
      <c r="E12" t="inlineStr">
        <is>
          <t>Assembly commissioning and technician work</t>
        </is>
      </c>
    </row>
    <row r="13">
      <c r="A13" t="inlineStr">
        <is>
          <t>hybrid</t>
        </is>
      </c>
      <c r="B13" t="inlineStr">
        <is>
          <t>Calcination caldron or drum</t>
        </is>
      </c>
      <c r="C13">
        <v>120000</v>
      </c>
      <c r="D13" t="inlineStr">
        <is>
          <t>Phase 1</t>
        </is>
      </c>
      <c r="E13" t="inlineStr">
        <is>
          <t>Refurbished core with stronger inspection</t>
        </is>
      </c>
    </row>
    <row r="14">
      <c r="A14" t="inlineStr">
        <is>
          <t>hybrid</t>
        </is>
      </c>
      <c r="B14" t="inlineStr">
        <is>
          <t>Grinding and mixer package</t>
        </is>
      </c>
      <c r="C14">
        <v>60000</v>
      </c>
      <c r="D14" t="inlineStr">
        <is>
          <t>Phase 1</t>
        </is>
      </c>
      <c r="E14" t="inlineStr">
        <is>
          <t>Mixed used and new components</t>
        </is>
      </c>
    </row>
    <row r="15">
      <c r="A15" t="inlineStr">
        <is>
          <t>hybrid</t>
        </is>
      </c>
      <c r="B15" t="inlineStr">
        <is>
          <t>25kg bagging line</t>
        </is>
      </c>
      <c r="C15">
        <v>40000</v>
      </c>
      <c r="D15" t="inlineStr">
        <is>
          <t>Phase 1</t>
        </is>
      </c>
      <c r="E15" t="inlineStr">
        <is>
          <t>Refurbished or new-critical parts</t>
        </is>
      </c>
    </row>
    <row r="16">
      <c r="A16" t="inlineStr">
        <is>
          <t>hybrid</t>
        </is>
      </c>
      <c r="B16" t="inlineStr">
        <is>
          <t>Silo and internal logistics</t>
        </is>
      </c>
      <c r="C16">
        <v>35000</v>
      </c>
      <c r="D16" t="inlineStr">
        <is>
          <t>Phase 1</t>
        </is>
      </c>
      <c r="E16" t="inlineStr">
        <is>
          <t>New local fabrication where cheap</t>
        </is>
      </c>
    </row>
    <row r="17">
      <c r="A17" t="inlineStr">
        <is>
          <t>hybrid</t>
        </is>
      </c>
      <c r="B17" t="inlineStr">
        <is>
          <t>Jaw crusher</t>
        </is>
      </c>
      <c r="C17">
        <v>35000</v>
      </c>
      <c r="D17" t="inlineStr">
        <is>
          <t>Phase 1</t>
        </is>
      </c>
      <c r="E17" t="inlineStr">
        <is>
          <t>Used inspected or local supplier</t>
        </is>
      </c>
    </row>
    <row r="18">
      <c r="A18" t="inlineStr">
        <is>
          <t>hybrid</t>
        </is>
      </c>
      <c r="B18" t="inlineStr">
        <is>
          <t>Dust collection and filters</t>
        </is>
      </c>
      <c r="C18">
        <v>40000</v>
      </c>
      <c r="D18" t="inlineStr">
        <is>
          <t>Phase 1</t>
        </is>
      </c>
      <c r="E18" t="inlineStr">
        <is>
          <t>Prefer new filters where possible</t>
        </is>
      </c>
    </row>
    <row r="19">
      <c r="A19" t="inlineStr">
        <is>
          <t>hybrid</t>
        </is>
      </c>
      <c r="B19" t="inlineStr">
        <is>
          <t>Electrical works</t>
        </is>
      </c>
      <c r="C19">
        <v>45000</v>
      </c>
      <c r="D19" t="inlineStr">
        <is>
          <t>Phase 1</t>
        </is>
      </c>
      <c r="E19" t="inlineStr">
        <is>
          <t>New electrical backbone</t>
        </is>
      </c>
    </row>
    <row r="20">
      <c r="A20" t="inlineStr">
        <is>
          <t>hybrid</t>
        </is>
      </c>
      <c r="B20" t="inlineStr">
        <is>
          <t>Gas or fuel system</t>
        </is>
      </c>
      <c r="C20">
        <v>35000</v>
      </c>
      <c r="D20" t="inlineStr">
        <is>
          <t>Phase 1</t>
        </is>
      </c>
      <c r="E20" t="inlineStr">
        <is>
          <t>New safety-critical fuel system</t>
        </is>
      </c>
    </row>
    <row r="21">
      <c r="A21" t="inlineStr">
        <is>
          <t>hybrid</t>
        </is>
      </c>
      <c r="B21" t="inlineStr">
        <is>
          <t>Forklift and warehouse handling</t>
        </is>
      </c>
      <c r="C21">
        <v>15000</v>
      </c>
      <c r="D21" t="inlineStr">
        <is>
          <t>Phase 1</t>
        </is>
      </c>
      <c r="E21" t="inlineStr">
        <is>
          <t>Used handling equipment</t>
        </is>
      </c>
    </row>
    <row r="22">
      <c r="A22" t="inlineStr">
        <is>
          <t>hybrid</t>
        </is>
      </c>
      <c r="B22" t="inlineStr">
        <is>
          <t>Minimum quality lab</t>
        </is>
      </c>
      <c r="C22">
        <v>15000</v>
      </c>
      <c r="D22" t="inlineStr">
        <is>
          <t>Phase 1</t>
        </is>
      </c>
      <c r="E22" t="inlineStr">
        <is>
          <t>Improved minimal lab</t>
        </is>
      </c>
    </row>
    <row r="23">
      <c r="A23" t="inlineStr">
        <is>
          <t>hybrid</t>
        </is>
      </c>
      <c r="B23" t="inlineStr">
        <is>
          <t>Installation and commissioning</t>
        </is>
      </c>
      <c r="C23">
        <v>40000</v>
      </c>
      <c r="D23" t="inlineStr">
        <is>
          <t>Phase 1</t>
        </is>
      </c>
      <c r="E23" t="inlineStr">
        <is>
          <t>More robust commissioning</t>
        </is>
      </c>
    </row>
    <row r="24">
      <c r="A24" t="inlineStr">
        <is>
          <t>new</t>
        </is>
      </c>
      <c r="B24" t="inlineStr">
        <is>
          <t>Calcination caldron or drum</t>
        </is>
      </c>
      <c r="C24">
        <v>200000</v>
      </c>
      <c r="D24" t="inlineStr">
        <is>
          <t>Phase 1</t>
        </is>
      </c>
      <c r="E24" t="inlineStr">
        <is>
          <t>New core kiln package</t>
        </is>
      </c>
    </row>
    <row r="25">
      <c r="A25" t="inlineStr">
        <is>
          <t>new</t>
        </is>
      </c>
      <c r="B25" t="inlineStr">
        <is>
          <t>Grinding and mixer package</t>
        </is>
      </c>
      <c r="C25">
        <v>100000</v>
      </c>
      <c r="D25" t="inlineStr">
        <is>
          <t>Phase 1</t>
        </is>
      </c>
      <c r="E25" t="inlineStr">
        <is>
          <t>New grinding and mixing package</t>
        </is>
      </c>
    </row>
    <row r="26">
      <c r="A26" t="inlineStr">
        <is>
          <t>new</t>
        </is>
      </c>
      <c r="B26" t="inlineStr">
        <is>
          <t>25kg bagging line</t>
        </is>
      </c>
      <c r="C26">
        <v>65000</v>
      </c>
      <c r="D26" t="inlineStr">
        <is>
          <t>Phase 1</t>
        </is>
      </c>
      <c r="E26" t="inlineStr">
        <is>
          <t>New bag filling sealing and printing</t>
        </is>
      </c>
    </row>
    <row r="27">
      <c r="A27" t="inlineStr">
        <is>
          <t>new</t>
        </is>
      </c>
      <c r="B27" t="inlineStr">
        <is>
          <t>Silo and internal logistics</t>
        </is>
      </c>
      <c r="C27">
        <v>50000</v>
      </c>
      <c r="D27" t="inlineStr">
        <is>
          <t>Phase 1</t>
        </is>
      </c>
      <c r="E27" t="inlineStr">
        <is>
          <t>New silo and conveying</t>
        </is>
      </c>
    </row>
    <row r="28">
      <c r="A28" t="inlineStr">
        <is>
          <t>new</t>
        </is>
      </c>
      <c r="B28" t="inlineStr">
        <is>
          <t>Jaw crusher</t>
        </is>
      </c>
      <c r="C28">
        <v>50000</v>
      </c>
      <c r="D28" t="inlineStr">
        <is>
          <t>Phase 1</t>
        </is>
      </c>
      <c r="E28" t="inlineStr">
        <is>
          <t>New crusher if required</t>
        </is>
      </c>
    </row>
    <row r="29">
      <c r="A29" t="inlineStr">
        <is>
          <t>new</t>
        </is>
      </c>
      <c r="B29" t="inlineStr">
        <is>
          <t>Dust collection and filters</t>
        </is>
      </c>
      <c r="C29">
        <v>60000</v>
      </c>
      <c r="D29" t="inlineStr">
        <is>
          <t>Phase 1</t>
        </is>
      </c>
      <c r="E29" t="inlineStr">
        <is>
          <t>New dust collection</t>
        </is>
      </c>
    </row>
    <row r="30">
      <c r="A30" t="inlineStr">
        <is>
          <t>new</t>
        </is>
      </c>
      <c r="B30" t="inlineStr">
        <is>
          <t>Electrical works</t>
        </is>
      </c>
      <c r="C30">
        <v>70000</v>
      </c>
      <c r="D30" t="inlineStr">
        <is>
          <t>Phase 1</t>
        </is>
      </c>
      <c r="E30" t="inlineStr">
        <is>
          <t>New electrical backbone</t>
        </is>
      </c>
    </row>
    <row r="31">
      <c r="A31" t="inlineStr">
        <is>
          <t>new</t>
        </is>
      </c>
      <c r="B31" t="inlineStr">
        <is>
          <t>Gas or fuel system</t>
        </is>
      </c>
      <c r="C31">
        <v>50000</v>
      </c>
      <c r="D31" t="inlineStr">
        <is>
          <t>Phase 1</t>
        </is>
      </c>
      <c r="E31" t="inlineStr">
        <is>
          <t>New burner or fuel system</t>
        </is>
      </c>
    </row>
    <row r="32">
      <c r="A32" t="inlineStr">
        <is>
          <t>new</t>
        </is>
      </c>
      <c r="B32" t="inlineStr">
        <is>
          <t>Forklift and warehouse handling</t>
        </is>
      </c>
      <c r="C32">
        <v>25000</v>
      </c>
      <c r="D32" t="inlineStr">
        <is>
          <t>Phase 1</t>
        </is>
      </c>
      <c r="E32" t="inlineStr">
        <is>
          <t>New or near-new handling</t>
        </is>
      </c>
    </row>
    <row r="33">
      <c r="A33" t="inlineStr">
        <is>
          <t>new</t>
        </is>
      </c>
      <c r="B33" t="inlineStr">
        <is>
          <t>Minimum quality lab</t>
        </is>
      </c>
      <c r="C33">
        <v>20000</v>
      </c>
      <c r="D33" t="inlineStr">
        <is>
          <t>Phase 1</t>
        </is>
      </c>
      <c r="E33" t="inlineStr">
        <is>
          <t>More complete lab baseline</t>
        </is>
      </c>
    </row>
    <row r="34">
      <c r="A34" t="inlineStr">
        <is>
          <t>new</t>
        </is>
      </c>
      <c r="B34" t="inlineStr">
        <is>
          <t>Installation and commissioning</t>
        </is>
      </c>
      <c r="C34">
        <v>60000</v>
      </c>
      <c r="D34" t="inlineStr">
        <is>
          <t>Phase 1</t>
        </is>
      </c>
      <c r="E34" t="inlineStr">
        <is>
          <t>Supplier commissioning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Strategy</t>
        </is>
      </c>
      <c r="B1" t="inlineStr">
        <is>
          <t>Repair reserve %</t>
        </is>
      </c>
      <c r="C1" t="inlineStr">
        <is>
          <t>Contingency %</t>
        </is>
      </c>
      <c r="D1" t="inlineStr">
        <is>
          <t>Scale exponent</t>
        </is>
      </c>
      <c r="E1" t="inlineStr">
        <is>
          <t>Maintenance % annual</t>
        </is>
      </c>
      <c r="F1" t="inlineStr">
        <is>
          <t>Lead time months</t>
        </is>
      </c>
      <c r="G1" t="inlineStr">
        <is>
          <t>Notes</t>
        </is>
      </c>
    </row>
    <row r="2">
      <c r="A2" t="inlineStr">
        <is>
          <t>used</t>
        </is>
      </c>
      <c r="B2">
        <v>0.2</v>
      </c>
      <c r="C2">
        <v>0.12</v>
      </c>
      <c r="D2">
        <v>0.85</v>
      </c>
      <c r="E2">
        <v>0.06</v>
      </c>
      <c r="F2">
        <v>1.5</v>
      </c>
      <c r="G2" t="inlineStr">
        <is>
          <t>Lowest CAPEX but highest commissioning and downtime risk</t>
        </is>
      </c>
    </row>
    <row r="3">
      <c r="A3" t="inlineStr">
        <is>
          <t>hybrid</t>
        </is>
      </c>
      <c r="B3">
        <v>0.1</v>
      </c>
      <c r="C3">
        <v>0.12</v>
      </c>
      <c r="D3">
        <v>0.78</v>
      </c>
      <c r="E3">
        <v>0.04</v>
      </c>
      <c r="F3">
        <v>3</v>
      </c>
      <c r="G3" t="inlineStr">
        <is>
          <t>Balanced option for safety-critical new components</t>
        </is>
      </c>
    </row>
    <row r="4">
      <c r="A4" t="inlineStr">
        <is>
          <t>new</t>
        </is>
      </c>
      <c r="B4">
        <v>0</v>
      </c>
      <c r="C4">
        <v>0.1</v>
      </c>
      <c r="D4">
        <v>0.72</v>
      </c>
      <c r="E4">
        <v>0.03</v>
      </c>
      <c r="F4">
        <v>4</v>
      </c>
      <c r="G4" t="inlineStr">
        <is>
          <t>Higher CAPEX but better uptime and scale logic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Scenario ID</t>
        </is>
      </c>
      <c r="B1" t="inlineStr">
        <is>
          <t>Capacity scenario</t>
        </is>
      </c>
      <c r="C1" t="inlineStr">
        <is>
          <t>Capacity t/year</t>
        </is>
      </c>
      <c r="D1" t="inlineStr">
        <is>
          <t>Strategy</t>
        </is>
      </c>
      <c r="E1" t="inlineStr">
        <is>
          <t>Utilization %</t>
        </is>
      </c>
      <c r="F1" t="inlineStr">
        <is>
          <t>Finished t/year</t>
        </is>
      </c>
      <c r="G1" t="inlineStr">
        <is>
          <t>Finished t/month</t>
        </is>
      </c>
      <c r="H1" t="inlineStr">
        <is>
          <t>Bags/month</t>
        </is>
      </c>
      <c r="I1" t="inlineStr">
        <is>
          <t>Price EUR/t</t>
        </is>
      </c>
      <c r="J1" t="inlineStr">
        <is>
          <t>Price EUR/bag</t>
        </is>
      </c>
      <c r="K1" t="inlineStr">
        <is>
          <t>Base equipment CAPEX 5k</t>
        </is>
      </c>
      <c r="L1" t="inlineStr">
        <is>
          <t>Repair reserve</t>
        </is>
      </c>
      <c r="M1" t="inlineStr">
        <is>
          <t>Contingency</t>
        </is>
      </c>
      <c r="N1" t="inlineStr">
        <is>
          <t>Base CAPEX 5k complete</t>
        </is>
      </c>
      <c r="O1" t="inlineStr">
        <is>
          <t>Scale factor</t>
        </is>
      </c>
      <c r="P1" t="inlineStr">
        <is>
          <t>Scaled CAPEX</t>
        </is>
      </c>
      <c r="Q1" t="inlineStr">
        <is>
          <t>Raw cost/t</t>
        </is>
      </c>
      <c r="R1" t="inlineStr">
        <is>
          <t>Packaging cost/t</t>
        </is>
      </c>
      <c r="S1" t="inlineStr">
        <is>
          <t>Variable cost/t</t>
        </is>
      </c>
      <c r="T1" t="inlineStr">
        <is>
          <t>Fixed + maintenance/month</t>
        </is>
      </c>
      <c r="U1" t="inlineStr">
        <is>
          <t>Working capital</t>
        </is>
      </c>
      <c r="V1" t="inlineStr">
        <is>
          <t>Total funding need</t>
        </is>
      </c>
      <c r="W1" t="inlineStr">
        <is>
          <t>Revenue/month</t>
        </is>
      </c>
      <c r="X1" t="inlineStr">
        <is>
          <t>Gross profit/month</t>
        </is>
      </c>
      <c r="Y1" t="inlineStr">
        <is>
          <t>EBITDA/month</t>
        </is>
      </c>
      <c r="Z1" t="inlineStr">
        <is>
          <t>Gross margin %</t>
        </is>
      </c>
      <c r="AA1" t="inlineStr">
        <is>
          <t>Break-even t/month</t>
        </is>
      </c>
      <c r="AB1" t="inlineStr">
        <is>
          <t>Break-even bags/month</t>
        </is>
      </c>
      <c r="AC1" t="inlineStr">
        <is>
          <t>Break-even revenue/month</t>
        </is>
      </c>
      <c r="AD1" t="inlineStr">
        <is>
          <t>Payback years</t>
        </is>
      </c>
      <c r="AE1" t="inlineStr">
        <is>
          <t>ROI 3y</t>
        </is>
      </c>
      <c r="AF1" t="inlineStr">
        <is>
          <t>Debt/month</t>
        </is>
      </c>
      <c r="AG1" t="inlineStr">
        <is>
          <t>Cash after debt/month</t>
        </is>
      </c>
      <c r="AH1" t="inlineStr">
        <is>
          <t>DSCR</t>
        </is>
      </c>
      <c r="AI1" t="inlineStr">
        <is>
          <t>Verdict</t>
        </is>
      </c>
    </row>
    <row r="2">
      <c r="A2" t="inlineStr">
        <is>
          <t>pilot_used</t>
        </is>
      </c>
      <c r="B2" t="inlineStr">
        <is>
          <t>Pilot</t>
        </is>
      </c>
      <c r="C2">
        <v>3000</v>
      </c>
      <c r="D2" t="inlineStr">
        <is>
          <t>used</t>
        </is>
      </c>
      <c r="E2">
        <v>0.6</v>
      </c>
      <c r="F2">
        <f>C2*E2</f>
        <v>0</v>
      </c>
      <c r="G2">
        <f>F2/12</f>
        <v>0</v>
      </c>
      <c r="H2">
        <f>G2*1000/Inputs!$D$2</f>
        <v>0</v>
      </c>
      <c r="I2">
        <f>Inputs!$D$4</f>
        <v>0</v>
      </c>
      <c r="J2">
        <f>I2/(1000/Inputs!$D$2)</f>
        <v>0</v>
      </c>
      <c r="K2">
        <f>SUMIF(Equipment_Costs!$A:$A,D2,Equipment_Costs!$C:$C)</f>
        <v>0</v>
      </c>
      <c r="L2">
        <f>K2*VLOOKUP(D2,Strategy_Rates!$A:$G,2,FALSE)</f>
        <v>0</v>
      </c>
      <c r="M2">
        <f>(K2+L2)*VLOOKUP(D2,Strategy_Rates!$A:$G,3,FALSE)</f>
        <v>0</v>
      </c>
      <c r="N2">
        <f>K2+L2+M2</f>
        <v>0</v>
      </c>
      <c r="O2">
        <f>(C2/5000)^VLOOKUP(D2,Strategy_Rates!$A:$G,4,FALSE)</f>
        <v>0</v>
      </c>
      <c r="P2">
        <f>N2*O2</f>
        <v>0</v>
      </c>
      <c r="Q2">
        <f>(Inputs!$D$6+Inputs!$D$7)/Inputs!$D$5</f>
        <v>0</v>
      </c>
      <c r="R2">
        <f>Inputs!$D$12*(1000/Inputs!$D$2)</f>
        <v>0</v>
      </c>
      <c r="S2">
        <f>Q2+Inputs!$D$8+Inputs!$D$9+Inputs!$D$10+Inputs!$D$11+R2+Inputs!$D$13+Inputs!$D$14</f>
        <v>0</v>
      </c>
      <c r="T2">
        <f>Inputs!$D$15+P2*VLOOKUP(D2,Strategy_Rates!$A:$G,5,FALSE)/12</f>
        <v>0</v>
      </c>
      <c r="U2">
        <f>Inputs!$D$16*(S2*G2+T2)</f>
        <v>0</v>
      </c>
      <c r="V2">
        <f>P2+U2</f>
        <v>0</v>
      </c>
      <c r="W2">
        <f>I2*G2</f>
        <v>0</v>
      </c>
      <c r="X2">
        <f>(I2-S2)*G2</f>
        <v>0</v>
      </c>
      <c r="Y2">
        <f>W2-S2*G2-T2</f>
        <v>0</v>
      </c>
      <c r="Z2">
        <f>IF(I2&gt;0,(I2-S2)/I2,0)</f>
        <v>0</v>
      </c>
      <c r="AA2">
        <f>IF(I2&gt;S2,T2/(I2-S2),0)</f>
        <v>0</v>
      </c>
      <c r="AB2">
        <f>AA2*1000/Inputs!$D$2</f>
        <v>0</v>
      </c>
      <c r="AC2">
        <f>AA2*I2</f>
        <v>0</v>
      </c>
      <c r="AD2">
        <f>IF(Y2&gt;0,V2/(Y2*12),999)</f>
        <v>0</v>
      </c>
      <c r="AE2">
        <f>IF(V2&gt;0,(Y2*36-V2)/V2,0)</f>
        <v>0</v>
      </c>
      <c r="AF2">
        <f>IF(Inputs!$D$17=1,IF(Inputs!$D$19&gt;0,V2*Inputs!$D$18*Inputs!$D$19/(1-(1+Inputs!$D$19)^(-Inputs!$D$20))/12,V2*Inputs!$D$18/Inputs!$D$20/12),0)</f>
        <v>0</v>
      </c>
      <c r="AG2">
        <f>Y2-AF2</f>
        <v>0</v>
      </c>
      <c r="AH2">
        <f>IF(AF2&gt;0,Y2/AF2,0)</f>
        <v>0</v>
      </c>
      <c r="AI2">
        <f>IF(AND(Z2&gt;=0.35,AD2&lt;=3.5,Y2&gt;0),"GO",IF(AND(Z2&gt;=0.25,Y2&gt;0),"GO conditional",IF(Y2&gt;0,"Risk","NO-GO")))</f>
        <v>0</v>
      </c>
    </row>
    <row r="3">
      <c r="A3" t="inlineStr">
        <is>
          <t>pilot_hybrid</t>
        </is>
      </c>
      <c r="B3" t="inlineStr">
        <is>
          <t>Pilot</t>
        </is>
      </c>
      <c r="C3">
        <v>3000</v>
      </c>
      <c r="D3" t="inlineStr">
        <is>
          <t>hybrid</t>
        </is>
      </c>
      <c r="E3">
        <v>0.6</v>
      </c>
      <c r="F3">
        <f>C3*E3</f>
        <v>0</v>
      </c>
      <c r="G3">
        <f>F3/12</f>
        <v>0</v>
      </c>
      <c r="H3">
        <f>G3*1000/Inputs!$D$2</f>
        <v>0</v>
      </c>
      <c r="I3">
        <f>Inputs!$D$4</f>
        <v>0</v>
      </c>
      <c r="J3">
        <f>I3/(1000/Inputs!$D$2)</f>
        <v>0</v>
      </c>
      <c r="K3">
        <f>SUMIF(Equipment_Costs!$A:$A,D3,Equipment_Costs!$C:$C)</f>
        <v>0</v>
      </c>
      <c r="L3">
        <f>K3*VLOOKUP(D3,Strategy_Rates!$A:$G,2,FALSE)</f>
        <v>0</v>
      </c>
      <c r="M3">
        <f>(K3+L3)*VLOOKUP(D3,Strategy_Rates!$A:$G,3,FALSE)</f>
        <v>0</v>
      </c>
      <c r="N3">
        <f>K3+L3+M3</f>
        <v>0</v>
      </c>
      <c r="O3">
        <f>(C3/5000)^VLOOKUP(D3,Strategy_Rates!$A:$G,4,FALSE)</f>
        <v>0</v>
      </c>
      <c r="P3">
        <f>N3*O3</f>
        <v>0</v>
      </c>
      <c r="Q3">
        <f>(Inputs!$D$6+Inputs!$D$7)/Inputs!$D$5</f>
        <v>0</v>
      </c>
      <c r="R3">
        <f>Inputs!$D$12*(1000/Inputs!$D$2)</f>
        <v>0</v>
      </c>
      <c r="S3">
        <f>Q3+Inputs!$D$8+Inputs!$D$9+Inputs!$D$10+Inputs!$D$11+R3+Inputs!$D$13+Inputs!$D$14</f>
        <v>0</v>
      </c>
      <c r="T3">
        <f>Inputs!$D$15+P3*VLOOKUP(D3,Strategy_Rates!$A:$G,5,FALSE)/12</f>
        <v>0</v>
      </c>
      <c r="U3">
        <f>Inputs!$D$16*(S3*G3+T3)</f>
        <v>0</v>
      </c>
      <c r="V3">
        <f>P3+U3</f>
        <v>0</v>
      </c>
      <c r="W3">
        <f>I3*G3</f>
        <v>0</v>
      </c>
      <c r="X3">
        <f>(I3-S3)*G3</f>
        <v>0</v>
      </c>
      <c r="Y3">
        <f>W3-S3*G3-T3</f>
        <v>0</v>
      </c>
      <c r="Z3">
        <f>IF(I3&gt;0,(I3-S3)/I3,0)</f>
        <v>0</v>
      </c>
      <c r="AA3">
        <f>IF(I3&gt;S3,T3/(I3-S3),0)</f>
        <v>0</v>
      </c>
      <c r="AB3">
        <f>AA3*1000/Inputs!$D$2</f>
        <v>0</v>
      </c>
      <c r="AC3">
        <f>AA3*I3</f>
        <v>0</v>
      </c>
      <c r="AD3">
        <f>IF(Y3&gt;0,V3/(Y3*12),999)</f>
        <v>0</v>
      </c>
      <c r="AE3">
        <f>IF(V3&gt;0,(Y3*36-V3)/V3,0)</f>
        <v>0</v>
      </c>
      <c r="AF3">
        <f>IF(Inputs!$D$17=1,IF(Inputs!$D$19&gt;0,V3*Inputs!$D$18*Inputs!$D$19/(1-(1+Inputs!$D$19)^(-Inputs!$D$20))/12,V3*Inputs!$D$18/Inputs!$D$20/12),0)</f>
        <v>0</v>
      </c>
      <c r="AG3">
        <f>Y3-AF3</f>
        <v>0</v>
      </c>
      <c r="AH3">
        <f>IF(AF3&gt;0,Y3/AF3,0)</f>
        <v>0</v>
      </c>
      <c r="AI3">
        <f>IF(AND(Z3&gt;=0.35,AD3&lt;=3.5,Y3&gt;0),"GO",IF(AND(Z3&gt;=0.25,Y3&gt;0),"GO conditional",IF(Y3&gt;0,"Risk","NO-GO")))</f>
        <v>0</v>
      </c>
    </row>
    <row r="4">
      <c r="A4" t="inlineStr">
        <is>
          <t>pilot_new</t>
        </is>
      </c>
      <c r="B4" t="inlineStr">
        <is>
          <t>Pilot</t>
        </is>
      </c>
      <c r="C4">
        <v>3000</v>
      </c>
      <c r="D4" t="inlineStr">
        <is>
          <t>new</t>
        </is>
      </c>
      <c r="E4">
        <v>0.6</v>
      </c>
      <c r="F4">
        <f>C4*E4</f>
        <v>0</v>
      </c>
      <c r="G4">
        <f>F4/12</f>
        <v>0</v>
      </c>
      <c r="H4">
        <f>G4*1000/Inputs!$D$2</f>
        <v>0</v>
      </c>
      <c r="I4">
        <f>Inputs!$D$4</f>
        <v>0</v>
      </c>
      <c r="J4">
        <f>I4/(1000/Inputs!$D$2)</f>
        <v>0</v>
      </c>
      <c r="K4">
        <f>SUMIF(Equipment_Costs!$A:$A,D4,Equipment_Costs!$C:$C)</f>
        <v>0</v>
      </c>
      <c r="L4">
        <f>K4*VLOOKUP(D4,Strategy_Rates!$A:$G,2,FALSE)</f>
        <v>0</v>
      </c>
      <c r="M4">
        <f>(K4+L4)*VLOOKUP(D4,Strategy_Rates!$A:$G,3,FALSE)</f>
        <v>0</v>
      </c>
      <c r="N4">
        <f>K4+L4+M4</f>
        <v>0</v>
      </c>
      <c r="O4">
        <f>(C4/5000)^VLOOKUP(D4,Strategy_Rates!$A:$G,4,FALSE)</f>
        <v>0</v>
      </c>
      <c r="P4">
        <f>N4*O4</f>
        <v>0</v>
      </c>
      <c r="Q4">
        <f>(Inputs!$D$6+Inputs!$D$7)/Inputs!$D$5</f>
        <v>0</v>
      </c>
      <c r="R4">
        <f>Inputs!$D$12*(1000/Inputs!$D$2)</f>
        <v>0</v>
      </c>
      <c r="S4">
        <f>Q4+Inputs!$D$8+Inputs!$D$9+Inputs!$D$10+Inputs!$D$11+R4+Inputs!$D$13+Inputs!$D$14</f>
        <v>0</v>
      </c>
      <c r="T4">
        <f>Inputs!$D$15+P4*VLOOKUP(D4,Strategy_Rates!$A:$G,5,FALSE)/12</f>
        <v>0</v>
      </c>
      <c r="U4">
        <f>Inputs!$D$16*(S4*G4+T4)</f>
        <v>0</v>
      </c>
      <c r="V4">
        <f>P4+U4</f>
        <v>0</v>
      </c>
      <c r="W4">
        <f>I4*G4</f>
        <v>0</v>
      </c>
      <c r="X4">
        <f>(I4-S4)*G4</f>
        <v>0</v>
      </c>
      <c r="Y4">
        <f>W4-S4*G4-T4</f>
        <v>0</v>
      </c>
      <c r="Z4">
        <f>IF(I4&gt;0,(I4-S4)/I4,0)</f>
        <v>0</v>
      </c>
      <c r="AA4">
        <f>IF(I4&gt;S4,T4/(I4-S4),0)</f>
        <v>0</v>
      </c>
      <c r="AB4">
        <f>AA4*1000/Inputs!$D$2</f>
        <v>0</v>
      </c>
      <c r="AC4">
        <f>AA4*I4</f>
        <v>0</v>
      </c>
      <c r="AD4">
        <f>IF(Y4&gt;0,V4/(Y4*12),999)</f>
        <v>0</v>
      </c>
      <c r="AE4">
        <f>IF(V4&gt;0,(Y4*36-V4)/V4,0)</f>
        <v>0</v>
      </c>
      <c r="AF4">
        <f>IF(Inputs!$D$17=1,IF(Inputs!$D$19&gt;0,V4*Inputs!$D$18*Inputs!$D$19/(1-(1+Inputs!$D$19)^(-Inputs!$D$20))/12,V4*Inputs!$D$18/Inputs!$D$20/12),0)</f>
        <v>0</v>
      </c>
      <c r="AG4">
        <f>Y4-AF4</f>
        <v>0</v>
      </c>
      <c r="AH4">
        <f>IF(AF4&gt;0,Y4/AF4,0)</f>
        <v>0</v>
      </c>
      <c r="AI4">
        <f>IF(AND(Z4&gt;=0.35,AD4&lt;=3.5,Y4&gt;0),"GO",IF(AND(Z4&gt;=0.25,Y4&gt;0),"GO conditional",IF(Y4&gt;0,"Risk","NO-GO")))</f>
        <v>0</v>
      </c>
    </row>
    <row r="5">
      <c r="A5" t="inlineStr">
        <is>
          <t>start_used</t>
        </is>
      </c>
      <c r="B5" t="inlineStr">
        <is>
          <t>Start optimal</t>
        </is>
      </c>
      <c r="C5">
        <v>5000</v>
      </c>
      <c r="D5" t="inlineStr">
        <is>
          <t>used</t>
        </is>
      </c>
      <c r="E5">
        <v>0.7</v>
      </c>
      <c r="F5">
        <f>C5*E5</f>
        <v>0</v>
      </c>
      <c r="G5">
        <f>F5/12</f>
        <v>0</v>
      </c>
      <c r="H5">
        <f>G5*1000/Inputs!$D$2</f>
        <v>0</v>
      </c>
      <c r="I5">
        <f>Inputs!$D$4</f>
        <v>0</v>
      </c>
      <c r="J5">
        <f>I5/(1000/Inputs!$D$2)</f>
        <v>0</v>
      </c>
      <c r="K5">
        <f>SUMIF(Equipment_Costs!$A:$A,D5,Equipment_Costs!$C:$C)</f>
        <v>0</v>
      </c>
      <c r="L5">
        <f>K5*VLOOKUP(D5,Strategy_Rates!$A:$G,2,FALSE)</f>
        <v>0</v>
      </c>
      <c r="M5">
        <f>(K5+L5)*VLOOKUP(D5,Strategy_Rates!$A:$G,3,FALSE)</f>
        <v>0</v>
      </c>
      <c r="N5">
        <f>K5+L5+M5</f>
        <v>0</v>
      </c>
      <c r="O5">
        <f>(C5/5000)^VLOOKUP(D5,Strategy_Rates!$A:$G,4,FALSE)</f>
        <v>0</v>
      </c>
      <c r="P5">
        <f>N5*O5</f>
        <v>0</v>
      </c>
      <c r="Q5">
        <f>(Inputs!$D$6+Inputs!$D$7)/Inputs!$D$5</f>
        <v>0</v>
      </c>
      <c r="R5">
        <f>Inputs!$D$12*(1000/Inputs!$D$2)</f>
        <v>0</v>
      </c>
      <c r="S5">
        <f>Q5+Inputs!$D$8+Inputs!$D$9+Inputs!$D$10+Inputs!$D$11+R5+Inputs!$D$13+Inputs!$D$14</f>
        <v>0</v>
      </c>
      <c r="T5">
        <f>Inputs!$D$15+P5*VLOOKUP(D5,Strategy_Rates!$A:$G,5,FALSE)/12</f>
        <v>0</v>
      </c>
      <c r="U5">
        <f>Inputs!$D$16*(S5*G5+T5)</f>
        <v>0</v>
      </c>
      <c r="V5">
        <f>P5+U5</f>
        <v>0</v>
      </c>
      <c r="W5">
        <f>I5*G5</f>
        <v>0</v>
      </c>
      <c r="X5">
        <f>(I5-S5)*G5</f>
        <v>0</v>
      </c>
      <c r="Y5">
        <f>W5-S5*G5-T5</f>
        <v>0</v>
      </c>
      <c r="Z5">
        <f>IF(I5&gt;0,(I5-S5)/I5,0)</f>
        <v>0</v>
      </c>
      <c r="AA5">
        <f>IF(I5&gt;S5,T5/(I5-S5),0)</f>
        <v>0</v>
      </c>
      <c r="AB5">
        <f>AA5*1000/Inputs!$D$2</f>
        <v>0</v>
      </c>
      <c r="AC5">
        <f>AA5*I5</f>
        <v>0</v>
      </c>
      <c r="AD5">
        <f>IF(Y5&gt;0,V5/(Y5*12),999)</f>
        <v>0</v>
      </c>
      <c r="AE5">
        <f>IF(V5&gt;0,(Y5*36-V5)/V5,0)</f>
        <v>0</v>
      </c>
      <c r="AF5">
        <f>IF(Inputs!$D$17=1,IF(Inputs!$D$19&gt;0,V5*Inputs!$D$18*Inputs!$D$19/(1-(1+Inputs!$D$19)^(-Inputs!$D$20))/12,V5*Inputs!$D$18/Inputs!$D$20/12),0)</f>
        <v>0</v>
      </c>
      <c r="AG5">
        <f>Y5-AF5</f>
        <v>0</v>
      </c>
      <c r="AH5">
        <f>IF(AF5&gt;0,Y5/AF5,0)</f>
        <v>0</v>
      </c>
      <c r="AI5">
        <f>IF(AND(Z5&gt;=0.35,AD5&lt;=3.5,Y5&gt;0),"GO",IF(AND(Z5&gt;=0.25,Y5&gt;0),"GO conditional",IF(Y5&gt;0,"Risk","NO-GO")))</f>
        <v>0</v>
      </c>
    </row>
    <row r="6">
      <c r="A6" t="inlineStr">
        <is>
          <t>start_hybrid</t>
        </is>
      </c>
      <c r="B6" t="inlineStr">
        <is>
          <t>Start optimal</t>
        </is>
      </c>
      <c r="C6">
        <v>5000</v>
      </c>
      <c r="D6" t="inlineStr">
        <is>
          <t>hybrid</t>
        </is>
      </c>
      <c r="E6">
        <v>0.7</v>
      </c>
      <c r="F6">
        <f>C6*E6</f>
        <v>0</v>
      </c>
      <c r="G6">
        <f>F6/12</f>
        <v>0</v>
      </c>
      <c r="H6">
        <f>G6*1000/Inputs!$D$2</f>
        <v>0</v>
      </c>
      <c r="I6">
        <f>Inputs!$D$4</f>
        <v>0</v>
      </c>
      <c r="J6">
        <f>I6/(1000/Inputs!$D$2)</f>
        <v>0</v>
      </c>
      <c r="K6">
        <f>SUMIF(Equipment_Costs!$A:$A,D6,Equipment_Costs!$C:$C)</f>
        <v>0</v>
      </c>
      <c r="L6">
        <f>K6*VLOOKUP(D6,Strategy_Rates!$A:$G,2,FALSE)</f>
        <v>0</v>
      </c>
      <c r="M6">
        <f>(K6+L6)*VLOOKUP(D6,Strategy_Rates!$A:$G,3,FALSE)</f>
        <v>0</v>
      </c>
      <c r="N6">
        <f>K6+L6+M6</f>
        <v>0</v>
      </c>
      <c r="O6">
        <f>(C6/5000)^VLOOKUP(D6,Strategy_Rates!$A:$G,4,FALSE)</f>
        <v>0</v>
      </c>
      <c r="P6">
        <f>N6*O6</f>
        <v>0</v>
      </c>
      <c r="Q6">
        <f>(Inputs!$D$6+Inputs!$D$7)/Inputs!$D$5</f>
        <v>0</v>
      </c>
      <c r="R6">
        <f>Inputs!$D$12*(1000/Inputs!$D$2)</f>
        <v>0</v>
      </c>
      <c r="S6">
        <f>Q6+Inputs!$D$8+Inputs!$D$9+Inputs!$D$10+Inputs!$D$11+R6+Inputs!$D$13+Inputs!$D$14</f>
        <v>0</v>
      </c>
      <c r="T6">
        <f>Inputs!$D$15+P6*VLOOKUP(D6,Strategy_Rates!$A:$G,5,FALSE)/12</f>
        <v>0</v>
      </c>
      <c r="U6">
        <f>Inputs!$D$16*(S6*G6+T6)</f>
        <v>0</v>
      </c>
      <c r="V6">
        <f>P6+U6</f>
        <v>0</v>
      </c>
      <c r="W6">
        <f>I6*G6</f>
        <v>0</v>
      </c>
      <c r="X6">
        <f>(I6-S6)*G6</f>
        <v>0</v>
      </c>
      <c r="Y6">
        <f>W6-S6*G6-T6</f>
        <v>0</v>
      </c>
      <c r="Z6">
        <f>IF(I6&gt;0,(I6-S6)/I6,0)</f>
        <v>0</v>
      </c>
      <c r="AA6">
        <f>IF(I6&gt;S6,T6/(I6-S6),0)</f>
        <v>0</v>
      </c>
      <c r="AB6">
        <f>AA6*1000/Inputs!$D$2</f>
        <v>0</v>
      </c>
      <c r="AC6">
        <f>AA6*I6</f>
        <v>0</v>
      </c>
      <c r="AD6">
        <f>IF(Y6&gt;0,V6/(Y6*12),999)</f>
        <v>0</v>
      </c>
      <c r="AE6">
        <f>IF(V6&gt;0,(Y6*36-V6)/V6,0)</f>
        <v>0</v>
      </c>
      <c r="AF6">
        <f>IF(Inputs!$D$17=1,IF(Inputs!$D$19&gt;0,V6*Inputs!$D$18*Inputs!$D$19/(1-(1+Inputs!$D$19)^(-Inputs!$D$20))/12,V6*Inputs!$D$18/Inputs!$D$20/12),0)</f>
        <v>0</v>
      </c>
      <c r="AG6">
        <f>Y6-AF6</f>
        <v>0</v>
      </c>
      <c r="AH6">
        <f>IF(AF6&gt;0,Y6/AF6,0)</f>
        <v>0</v>
      </c>
      <c r="AI6">
        <f>IF(AND(Z6&gt;=0.35,AD6&lt;=3.5,Y6&gt;0),"GO",IF(AND(Z6&gt;=0.25,Y6&gt;0),"GO conditional",IF(Y6&gt;0,"Risk","NO-GO")))</f>
        <v>0</v>
      </c>
    </row>
    <row r="7">
      <c r="A7" t="inlineStr">
        <is>
          <t>start_new</t>
        </is>
      </c>
      <c r="B7" t="inlineStr">
        <is>
          <t>Start optimal</t>
        </is>
      </c>
      <c r="C7">
        <v>5000</v>
      </c>
      <c r="D7" t="inlineStr">
        <is>
          <t>new</t>
        </is>
      </c>
      <c r="E7">
        <v>0.7</v>
      </c>
      <c r="F7">
        <f>C7*E7</f>
        <v>0</v>
      </c>
      <c r="G7">
        <f>F7/12</f>
        <v>0</v>
      </c>
      <c r="H7">
        <f>G7*1000/Inputs!$D$2</f>
        <v>0</v>
      </c>
      <c r="I7">
        <f>Inputs!$D$4</f>
        <v>0</v>
      </c>
      <c r="J7">
        <f>I7/(1000/Inputs!$D$2)</f>
        <v>0</v>
      </c>
      <c r="K7">
        <f>SUMIF(Equipment_Costs!$A:$A,D7,Equipment_Costs!$C:$C)</f>
        <v>0</v>
      </c>
      <c r="L7">
        <f>K7*VLOOKUP(D7,Strategy_Rates!$A:$G,2,FALSE)</f>
        <v>0</v>
      </c>
      <c r="M7">
        <f>(K7+L7)*VLOOKUP(D7,Strategy_Rates!$A:$G,3,FALSE)</f>
        <v>0</v>
      </c>
      <c r="N7">
        <f>K7+L7+M7</f>
        <v>0</v>
      </c>
      <c r="O7">
        <f>(C7/5000)^VLOOKUP(D7,Strategy_Rates!$A:$G,4,FALSE)</f>
        <v>0</v>
      </c>
      <c r="P7">
        <f>N7*O7</f>
        <v>0</v>
      </c>
      <c r="Q7">
        <f>(Inputs!$D$6+Inputs!$D$7)/Inputs!$D$5</f>
        <v>0</v>
      </c>
      <c r="R7">
        <f>Inputs!$D$12*(1000/Inputs!$D$2)</f>
        <v>0</v>
      </c>
      <c r="S7">
        <f>Q7+Inputs!$D$8+Inputs!$D$9+Inputs!$D$10+Inputs!$D$11+R7+Inputs!$D$13+Inputs!$D$14</f>
        <v>0</v>
      </c>
      <c r="T7">
        <f>Inputs!$D$15+P7*VLOOKUP(D7,Strategy_Rates!$A:$G,5,FALSE)/12</f>
        <v>0</v>
      </c>
      <c r="U7">
        <f>Inputs!$D$16*(S7*G7+T7)</f>
        <v>0</v>
      </c>
      <c r="V7">
        <f>P7+U7</f>
        <v>0</v>
      </c>
      <c r="W7">
        <f>I7*G7</f>
        <v>0</v>
      </c>
      <c r="X7">
        <f>(I7-S7)*G7</f>
        <v>0</v>
      </c>
      <c r="Y7">
        <f>W7-S7*G7-T7</f>
        <v>0</v>
      </c>
      <c r="Z7">
        <f>IF(I7&gt;0,(I7-S7)/I7,0)</f>
        <v>0</v>
      </c>
      <c r="AA7">
        <f>IF(I7&gt;S7,T7/(I7-S7),0)</f>
        <v>0</v>
      </c>
      <c r="AB7">
        <f>AA7*1000/Inputs!$D$2</f>
        <v>0</v>
      </c>
      <c r="AC7">
        <f>AA7*I7</f>
        <v>0</v>
      </c>
      <c r="AD7">
        <f>IF(Y7&gt;0,V7/(Y7*12),999)</f>
        <v>0</v>
      </c>
      <c r="AE7">
        <f>IF(V7&gt;0,(Y7*36-V7)/V7,0)</f>
        <v>0</v>
      </c>
      <c r="AF7">
        <f>IF(Inputs!$D$17=1,IF(Inputs!$D$19&gt;0,V7*Inputs!$D$18*Inputs!$D$19/(1-(1+Inputs!$D$19)^(-Inputs!$D$20))/12,V7*Inputs!$D$18/Inputs!$D$20/12),0)</f>
        <v>0</v>
      </c>
      <c r="AG7">
        <f>Y7-AF7</f>
        <v>0</v>
      </c>
      <c r="AH7">
        <f>IF(AF7&gt;0,Y7/AF7,0)</f>
        <v>0</v>
      </c>
      <c r="AI7">
        <f>IF(AND(Z7&gt;=0.35,AD7&lt;=3.5,Y7&gt;0),"GO",IF(AND(Z7&gt;=0.25,Y7&gt;0),"GO conditional",IF(Y7&gt;0,"Risk","NO-GO")))</f>
        <v>0</v>
      </c>
    </row>
    <row r="8">
      <c r="A8" t="inlineStr">
        <is>
          <t>scale_used</t>
        </is>
      </c>
      <c r="B8" t="inlineStr">
        <is>
          <t>Scale-up</t>
        </is>
      </c>
      <c r="C8">
        <v>10000</v>
      </c>
      <c r="D8" t="inlineStr">
        <is>
          <t>used</t>
        </is>
      </c>
      <c r="E8">
        <v>0.75</v>
      </c>
      <c r="F8">
        <f>C8*E8</f>
        <v>0</v>
      </c>
      <c r="G8">
        <f>F8/12</f>
        <v>0</v>
      </c>
      <c r="H8">
        <f>G8*1000/Inputs!$D$2</f>
        <v>0</v>
      </c>
      <c r="I8">
        <f>Inputs!$D$4</f>
        <v>0</v>
      </c>
      <c r="J8">
        <f>I8/(1000/Inputs!$D$2)</f>
        <v>0</v>
      </c>
      <c r="K8">
        <f>SUMIF(Equipment_Costs!$A:$A,D8,Equipment_Costs!$C:$C)</f>
        <v>0</v>
      </c>
      <c r="L8">
        <f>K8*VLOOKUP(D8,Strategy_Rates!$A:$G,2,FALSE)</f>
        <v>0</v>
      </c>
      <c r="M8">
        <f>(K8+L8)*VLOOKUP(D8,Strategy_Rates!$A:$G,3,FALSE)</f>
        <v>0</v>
      </c>
      <c r="N8">
        <f>K8+L8+M8</f>
        <v>0</v>
      </c>
      <c r="O8">
        <f>(C8/5000)^VLOOKUP(D8,Strategy_Rates!$A:$G,4,FALSE)</f>
        <v>0</v>
      </c>
      <c r="P8">
        <f>N8*O8</f>
        <v>0</v>
      </c>
      <c r="Q8">
        <f>(Inputs!$D$6+Inputs!$D$7)/Inputs!$D$5</f>
        <v>0</v>
      </c>
      <c r="R8">
        <f>Inputs!$D$12*(1000/Inputs!$D$2)</f>
        <v>0</v>
      </c>
      <c r="S8">
        <f>Q8+Inputs!$D$8+Inputs!$D$9+Inputs!$D$10+Inputs!$D$11+R8+Inputs!$D$13+Inputs!$D$14</f>
        <v>0</v>
      </c>
      <c r="T8">
        <f>Inputs!$D$15+P8*VLOOKUP(D8,Strategy_Rates!$A:$G,5,FALSE)/12</f>
        <v>0</v>
      </c>
      <c r="U8">
        <f>Inputs!$D$16*(S8*G8+T8)</f>
        <v>0</v>
      </c>
      <c r="V8">
        <f>P8+U8</f>
        <v>0</v>
      </c>
      <c r="W8">
        <f>I8*G8</f>
        <v>0</v>
      </c>
      <c r="X8">
        <f>(I8-S8)*G8</f>
        <v>0</v>
      </c>
      <c r="Y8">
        <f>W8-S8*G8-T8</f>
        <v>0</v>
      </c>
      <c r="Z8">
        <f>IF(I8&gt;0,(I8-S8)/I8,0)</f>
        <v>0</v>
      </c>
      <c r="AA8">
        <f>IF(I8&gt;S8,T8/(I8-S8),0)</f>
        <v>0</v>
      </c>
      <c r="AB8">
        <f>AA8*1000/Inputs!$D$2</f>
        <v>0</v>
      </c>
      <c r="AC8">
        <f>AA8*I8</f>
        <v>0</v>
      </c>
      <c r="AD8">
        <f>IF(Y8&gt;0,V8/(Y8*12),999)</f>
        <v>0</v>
      </c>
      <c r="AE8">
        <f>IF(V8&gt;0,(Y8*36-V8)/V8,0)</f>
        <v>0</v>
      </c>
      <c r="AF8">
        <f>IF(Inputs!$D$17=1,IF(Inputs!$D$19&gt;0,V8*Inputs!$D$18*Inputs!$D$19/(1-(1+Inputs!$D$19)^(-Inputs!$D$20))/12,V8*Inputs!$D$18/Inputs!$D$20/12),0)</f>
        <v>0</v>
      </c>
      <c r="AG8">
        <f>Y8-AF8</f>
        <v>0</v>
      </c>
      <c r="AH8">
        <f>IF(AF8&gt;0,Y8/AF8,0)</f>
        <v>0</v>
      </c>
      <c r="AI8">
        <f>IF(AND(Z8&gt;=0.35,AD8&lt;=3.5,Y8&gt;0),"GO",IF(AND(Z8&gt;=0.25,Y8&gt;0),"GO conditional",IF(Y8&gt;0,"Risk","NO-GO")))</f>
        <v>0</v>
      </c>
    </row>
    <row r="9">
      <c r="A9" t="inlineStr">
        <is>
          <t>scale_hybrid</t>
        </is>
      </c>
      <c r="B9" t="inlineStr">
        <is>
          <t>Scale-up</t>
        </is>
      </c>
      <c r="C9">
        <v>10000</v>
      </c>
      <c r="D9" t="inlineStr">
        <is>
          <t>hybrid</t>
        </is>
      </c>
      <c r="E9">
        <v>0.75</v>
      </c>
      <c r="F9">
        <f>C9*E9</f>
        <v>0</v>
      </c>
      <c r="G9">
        <f>F9/12</f>
        <v>0</v>
      </c>
      <c r="H9">
        <f>G9*1000/Inputs!$D$2</f>
        <v>0</v>
      </c>
      <c r="I9">
        <f>Inputs!$D$4</f>
        <v>0</v>
      </c>
      <c r="J9">
        <f>I9/(1000/Inputs!$D$2)</f>
        <v>0</v>
      </c>
      <c r="K9">
        <f>SUMIF(Equipment_Costs!$A:$A,D9,Equipment_Costs!$C:$C)</f>
        <v>0</v>
      </c>
      <c r="L9">
        <f>K9*VLOOKUP(D9,Strategy_Rates!$A:$G,2,FALSE)</f>
        <v>0</v>
      </c>
      <c r="M9">
        <f>(K9+L9)*VLOOKUP(D9,Strategy_Rates!$A:$G,3,FALSE)</f>
        <v>0</v>
      </c>
      <c r="N9">
        <f>K9+L9+M9</f>
        <v>0</v>
      </c>
      <c r="O9">
        <f>(C9/5000)^VLOOKUP(D9,Strategy_Rates!$A:$G,4,FALSE)</f>
        <v>0</v>
      </c>
      <c r="P9">
        <f>N9*O9</f>
        <v>0</v>
      </c>
      <c r="Q9">
        <f>(Inputs!$D$6+Inputs!$D$7)/Inputs!$D$5</f>
        <v>0</v>
      </c>
      <c r="R9">
        <f>Inputs!$D$12*(1000/Inputs!$D$2)</f>
        <v>0</v>
      </c>
      <c r="S9">
        <f>Q9+Inputs!$D$8+Inputs!$D$9+Inputs!$D$10+Inputs!$D$11+R9+Inputs!$D$13+Inputs!$D$14</f>
        <v>0</v>
      </c>
      <c r="T9">
        <f>Inputs!$D$15+P9*VLOOKUP(D9,Strategy_Rates!$A:$G,5,FALSE)/12</f>
        <v>0</v>
      </c>
      <c r="U9">
        <f>Inputs!$D$16*(S9*G9+T9)</f>
        <v>0</v>
      </c>
      <c r="V9">
        <f>P9+U9</f>
        <v>0</v>
      </c>
      <c r="W9">
        <f>I9*G9</f>
        <v>0</v>
      </c>
      <c r="X9">
        <f>(I9-S9)*G9</f>
        <v>0</v>
      </c>
      <c r="Y9">
        <f>W9-S9*G9-T9</f>
        <v>0</v>
      </c>
      <c r="Z9">
        <f>IF(I9&gt;0,(I9-S9)/I9,0)</f>
        <v>0</v>
      </c>
      <c r="AA9">
        <f>IF(I9&gt;S9,T9/(I9-S9),0)</f>
        <v>0</v>
      </c>
      <c r="AB9">
        <f>AA9*1000/Inputs!$D$2</f>
        <v>0</v>
      </c>
      <c r="AC9">
        <f>AA9*I9</f>
        <v>0</v>
      </c>
      <c r="AD9">
        <f>IF(Y9&gt;0,V9/(Y9*12),999)</f>
        <v>0</v>
      </c>
      <c r="AE9">
        <f>IF(V9&gt;0,(Y9*36-V9)/V9,0)</f>
        <v>0</v>
      </c>
      <c r="AF9">
        <f>IF(Inputs!$D$17=1,IF(Inputs!$D$19&gt;0,V9*Inputs!$D$18*Inputs!$D$19/(1-(1+Inputs!$D$19)^(-Inputs!$D$20))/12,V9*Inputs!$D$18/Inputs!$D$20/12),0)</f>
        <v>0</v>
      </c>
      <c r="AG9">
        <f>Y9-AF9</f>
        <v>0</v>
      </c>
      <c r="AH9">
        <f>IF(AF9&gt;0,Y9/AF9,0)</f>
        <v>0</v>
      </c>
      <c r="AI9">
        <f>IF(AND(Z9&gt;=0.35,AD9&lt;=3.5,Y9&gt;0),"GO",IF(AND(Z9&gt;=0.25,Y9&gt;0),"GO conditional",IF(Y9&gt;0,"Risk","NO-GO")))</f>
        <v>0</v>
      </c>
    </row>
    <row r="10">
      <c r="A10" t="inlineStr">
        <is>
          <t>scale_new</t>
        </is>
      </c>
      <c r="B10" t="inlineStr">
        <is>
          <t>Scale-up</t>
        </is>
      </c>
      <c r="C10">
        <v>10000</v>
      </c>
      <c r="D10" t="inlineStr">
        <is>
          <t>new</t>
        </is>
      </c>
      <c r="E10">
        <v>0.75</v>
      </c>
      <c r="F10">
        <f>C10*E10</f>
        <v>0</v>
      </c>
      <c r="G10">
        <f>F10/12</f>
        <v>0</v>
      </c>
      <c r="H10">
        <f>G10*1000/Inputs!$D$2</f>
        <v>0</v>
      </c>
      <c r="I10">
        <f>Inputs!$D$4</f>
        <v>0</v>
      </c>
      <c r="J10">
        <f>I10/(1000/Inputs!$D$2)</f>
        <v>0</v>
      </c>
      <c r="K10">
        <f>SUMIF(Equipment_Costs!$A:$A,D10,Equipment_Costs!$C:$C)</f>
        <v>0</v>
      </c>
      <c r="L10">
        <f>K10*VLOOKUP(D10,Strategy_Rates!$A:$G,2,FALSE)</f>
        <v>0</v>
      </c>
      <c r="M10">
        <f>(K10+L10)*VLOOKUP(D10,Strategy_Rates!$A:$G,3,FALSE)</f>
        <v>0</v>
      </c>
      <c r="N10">
        <f>K10+L10+M10</f>
        <v>0</v>
      </c>
      <c r="O10">
        <f>(C10/5000)^VLOOKUP(D10,Strategy_Rates!$A:$G,4,FALSE)</f>
        <v>0</v>
      </c>
      <c r="P10">
        <f>N10*O10</f>
        <v>0</v>
      </c>
      <c r="Q10">
        <f>(Inputs!$D$6+Inputs!$D$7)/Inputs!$D$5</f>
        <v>0</v>
      </c>
      <c r="R10">
        <f>Inputs!$D$12*(1000/Inputs!$D$2)</f>
        <v>0</v>
      </c>
      <c r="S10">
        <f>Q10+Inputs!$D$8+Inputs!$D$9+Inputs!$D$10+Inputs!$D$11+R10+Inputs!$D$13+Inputs!$D$14</f>
        <v>0</v>
      </c>
      <c r="T10">
        <f>Inputs!$D$15+P10*VLOOKUP(D10,Strategy_Rates!$A:$G,5,FALSE)/12</f>
        <v>0</v>
      </c>
      <c r="U10">
        <f>Inputs!$D$16*(S10*G10+T10)</f>
        <v>0</v>
      </c>
      <c r="V10">
        <f>P10+U10</f>
        <v>0</v>
      </c>
      <c r="W10">
        <f>I10*G10</f>
        <v>0</v>
      </c>
      <c r="X10">
        <f>(I10-S10)*G10</f>
        <v>0</v>
      </c>
      <c r="Y10">
        <f>W10-S10*G10-T10</f>
        <v>0</v>
      </c>
      <c r="Z10">
        <f>IF(I10&gt;0,(I10-S10)/I10,0)</f>
        <v>0</v>
      </c>
      <c r="AA10">
        <f>IF(I10&gt;S10,T10/(I10-S10),0)</f>
        <v>0</v>
      </c>
      <c r="AB10">
        <f>AA10*1000/Inputs!$D$2</f>
        <v>0</v>
      </c>
      <c r="AC10">
        <f>AA10*I10</f>
        <v>0</v>
      </c>
      <c r="AD10">
        <f>IF(Y10&gt;0,V10/(Y10*12),999)</f>
        <v>0</v>
      </c>
      <c r="AE10">
        <f>IF(V10&gt;0,(Y10*36-V10)/V10,0)</f>
        <v>0</v>
      </c>
      <c r="AF10">
        <f>IF(Inputs!$D$17=1,IF(Inputs!$D$19&gt;0,V10*Inputs!$D$18*Inputs!$D$19/(1-(1+Inputs!$D$19)^(-Inputs!$D$20))/12,V10*Inputs!$D$18/Inputs!$D$20/12),0)</f>
        <v>0</v>
      </c>
      <c r="AG10">
        <f>Y10-AF10</f>
        <v>0</v>
      </c>
      <c r="AH10">
        <f>IF(AF10&gt;0,Y10/AF10,0)</f>
        <v>0</v>
      </c>
      <c r="AI10">
        <f>IF(AND(Z10&gt;=0.35,AD10&lt;=3.5,Y10&gt;0),"GO",IF(AND(Z10&gt;=0.25,Y10&gt;0),"GO conditional",IF(Y10&gt;0,"Risk","NO-GO")))</f>
        <v>0</v>
      </c>
    </row>
    <row r="11">
      <c r="A11" t="inlineStr">
        <is>
          <t>industrial_used</t>
        </is>
      </c>
      <c r="B11" t="inlineStr">
        <is>
          <t>Industrial</t>
        </is>
      </c>
      <c r="C11">
        <v>20000</v>
      </c>
      <c r="D11" t="inlineStr">
        <is>
          <t>used</t>
        </is>
      </c>
      <c r="E11">
        <v>0.8</v>
      </c>
      <c r="F11">
        <f>C11*E11</f>
        <v>0</v>
      </c>
      <c r="G11">
        <f>F11/12</f>
        <v>0</v>
      </c>
      <c r="H11">
        <f>G11*1000/Inputs!$D$2</f>
        <v>0</v>
      </c>
      <c r="I11">
        <f>Inputs!$D$4</f>
        <v>0</v>
      </c>
      <c r="J11">
        <f>I11/(1000/Inputs!$D$2)</f>
        <v>0</v>
      </c>
      <c r="K11">
        <f>SUMIF(Equipment_Costs!$A:$A,D11,Equipment_Costs!$C:$C)</f>
        <v>0</v>
      </c>
      <c r="L11">
        <f>K11*VLOOKUP(D11,Strategy_Rates!$A:$G,2,FALSE)</f>
        <v>0</v>
      </c>
      <c r="M11">
        <f>(K11+L11)*VLOOKUP(D11,Strategy_Rates!$A:$G,3,FALSE)</f>
        <v>0</v>
      </c>
      <c r="N11">
        <f>K11+L11+M11</f>
        <v>0</v>
      </c>
      <c r="O11">
        <f>(C11/5000)^VLOOKUP(D11,Strategy_Rates!$A:$G,4,FALSE)</f>
        <v>0</v>
      </c>
      <c r="P11">
        <f>N11*O11</f>
        <v>0</v>
      </c>
      <c r="Q11">
        <f>(Inputs!$D$6+Inputs!$D$7)/Inputs!$D$5</f>
        <v>0</v>
      </c>
      <c r="R11">
        <f>Inputs!$D$12*(1000/Inputs!$D$2)</f>
        <v>0</v>
      </c>
      <c r="S11">
        <f>Q11+Inputs!$D$8+Inputs!$D$9+Inputs!$D$10+Inputs!$D$11+R11+Inputs!$D$13+Inputs!$D$14</f>
        <v>0</v>
      </c>
      <c r="T11">
        <f>Inputs!$D$15+P11*VLOOKUP(D11,Strategy_Rates!$A:$G,5,FALSE)/12</f>
        <v>0</v>
      </c>
      <c r="U11">
        <f>Inputs!$D$16*(S11*G11+T11)</f>
        <v>0</v>
      </c>
      <c r="V11">
        <f>P11+U11</f>
        <v>0</v>
      </c>
      <c r="W11">
        <f>I11*G11</f>
        <v>0</v>
      </c>
      <c r="X11">
        <f>(I11-S11)*G11</f>
        <v>0</v>
      </c>
      <c r="Y11">
        <f>W11-S11*G11-T11</f>
        <v>0</v>
      </c>
      <c r="Z11">
        <f>IF(I11&gt;0,(I11-S11)/I11,0)</f>
        <v>0</v>
      </c>
      <c r="AA11">
        <f>IF(I11&gt;S11,T11/(I11-S11),0)</f>
        <v>0</v>
      </c>
      <c r="AB11">
        <f>AA11*1000/Inputs!$D$2</f>
        <v>0</v>
      </c>
      <c r="AC11">
        <f>AA11*I11</f>
        <v>0</v>
      </c>
      <c r="AD11">
        <f>IF(Y11&gt;0,V11/(Y11*12),999)</f>
        <v>0</v>
      </c>
      <c r="AE11">
        <f>IF(V11&gt;0,(Y11*36-V11)/V11,0)</f>
        <v>0</v>
      </c>
      <c r="AF11">
        <f>IF(Inputs!$D$17=1,IF(Inputs!$D$19&gt;0,V11*Inputs!$D$18*Inputs!$D$19/(1-(1+Inputs!$D$19)^(-Inputs!$D$20))/12,V11*Inputs!$D$18/Inputs!$D$20/12),0)</f>
        <v>0</v>
      </c>
      <c r="AG11">
        <f>Y11-AF11</f>
        <v>0</v>
      </c>
      <c r="AH11">
        <f>IF(AF11&gt;0,Y11/AF11,0)</f>
        <v>0</v>
      </c>
      <c r="AI11">
        <f>IF(AND(Z11&gt;=0.35,AD11&lt;=3.5,Y11&gt;0),"GO",IF(AND(Z11&gt;=0.25,Y11&gt;0),"GO conditional",IF(Y11&gt;0,"Risk","NO-GO")))</f>
        <v>0</v>
      </c>
    </row>
    <row r="12">
      <c r="A12" t="inlineStr">
        <is>
          <t>industrial_hybrid</t>
        </is>
      </c>
      <c r="B12" t="inlineStr">
        <is>
          <t>Industrial</t>
        </is>
      </c>
      <c r="C12">
        <v>20000</v>
      </c>
      <c r="D12" t="inlineStr">
        <is>
          <t>hybrid</t>
        </is>
      </c>
      <c r="E12">
        <v>0.8</v>
      </c>
      <c r="F12">
        <f>C12*E12</f>
        <v>0</v>
      </c>
      <c r="G12">
        <f>F12/12</f>
        <v>0</v>
      </c>
      <c r="H12">
        <f>G12*1000/Inputs!$D$2</f>
        <v>0</v>
      </c>
      <c r="I12">
        <f>Inputs!$D$4</f>
        <v>0</v>
      </c>
      <c r="J12">
        <f>I12/(1000/Inputs!$D$2)</f>
        <v>0</v>
      </c>
      <c r="K12">
        <f>SUMIF(Equipment_Costs!$A:$A,D12,Equipment_Costs!$C:$C)</f>
        <v>0</v>
      </c>
      <c r="L12">
        <f>K12*VLOOKUP(D12,Strategy_Rates!$A:$G,2,FALSE)</f>
        <v>0</v>
      </c>
      <c r="M12">
        <f>(K12+L12)*VLOOKUP(D12,Strategy_Rates!$A:$G,3,FALSE)</f>
        <v>0</v>
      </c>
      <c r="N12">
        <f>K12+L12+M12</f>
        <v>0</v>
      </c>
      <c r="O12">
        <f>(C12/5000)^VLOOKUP(D12,Strategy_Rates!$A:$G,4,FALSE)</f>
        <v>0</v>
      </c>
      <c r="P12">
        <f>N12*O12</f>
        <v>0</v>
      </c>
      <c r="Q12">
        <f>(Inputs!$D$6+Inputs!$D$7)/Inputs!$D$5</f>
        <v>0</v>
      </c>
      <c r="R12">
        <f>Inputs!$D$12*(1000/Inputs!$D$2)</f>
        <v>0</v>
      </c>
      <c r="S12">
        <f>Q12+Inputs!$D$8+Inputs!$D$9+Inputs!$D$10+Inputs!$D$11+R12+Inputs!$D$13+Inputs!$D$14</f>
        <v>0</v>
      </c>
      <c r="T12">
        <f>Inputs!$D$15+P12*VLOOKUP(D12,Strategy_Rates!$A:$G,5,FALSE)/12</f>
        <v>0</v>
      </c>
      <c r="U12">
        <f>Inputs!$D$16*(S12*G12+T12)</f>
        <v>0</v>
      </c>
      <c r="V12">
        <f>P12+U12</f>
        <v>0</v>
      </c>
      <c r="W12">
        <f>I12*G12</f>
        <v>0</v>
      </c>
      <c r="X12">
        <f>(I12-S12)*G12</f>
        <v>0</v>
      </c>
      <c r="Y12">
        <f>W12-S12*G12-T12</f>
        <v>0</v>
      </c>
      <c r="Z12">
        <f>IF(I12&gt;0,(I12-S12)/I12,0)</f>
        <v>0</v>
      </c>
      <c r="AA12">
        <f>IF(I12&gt;S12,T12/(I12-S12),0)</f>
        <v>0</v>
      </c>
      <c r="AB12">
        <f>AA12*1000/Inputs!$D$2</f>
        <v>0</v>
      </c>
      <c r="AC12">
        <f>AA12*I12</f>
        <v>0</v>
      </c>
      <c r="AD12">
        <f>IF(Y12&gt;0,V12/(Y12*12),999)</f>
        <v>0</v>
      </c>
      <c r="AE12">
        <f>IF(V12&gt;0,(Y12*36-V12)/V12,0)</f>
        <v>0</v>
      </c>
      <c r="AF12">
        <f>IF(Inputs!$D$17=1,IF(Inputs!$D$19&gt;0,V12*Inputs!$D$18*Inputs!$D$19/(1-(1+Inputs!$D$19)^(-Inputs!$D$20))/12,V12*Inputs!$D$18/Inputs!$D$20/12),0)</f>
        <v>0</v>
      </c>
      <c r="AG12">
        <f>Y12-AF12</f>
        <v>0</v>
      </c>
      <c r="AH12">
        <f>IF(AF12&gt;0,Y12/AF12,0)</f>
        <v>0</v>
      </c>
      <c r="AI12">
        <f>IF(AND(Z12&gt;=0.35,AD12&lt;=3.5,Y12&gt;0),"GO",IF(AND(Z12&gt;=0.25,Y12&gt;0),"GO conditional",IF(Y12&gt;0,"Risk","NO-GO")))</f>
        <v>0</v>
      </c>
    </row>
    <row r="13">
      <c r="A13" t="inlineStr">
        <is>
          <t>industrial_new</t>
        </is>
      </c>
      <c r="B13" t="inlineStr">
        <is>
          <t>Industrial</t>
        </is>
      </c>
      <c r="C13">
        <v>20000</v>
      </c>
      <c r="D13" t="inlineStr">
        <is>
          <t>new</t>
        </is>
      </c>
      <c r="E13">
        <v>0.8</v>
      </c>
      <c r="F13">
        <f>C13*E13</f>
        <v>0</v>
      </c>
      <c r="G13">
        <f>F13/12</f>
        <v>0</v>
      </c>
      <c r="H13">
        <f>G13*1000/Inputs!$D$2</f>
        <v>0</v>
      </c>
      <c r="I13">
        <f>Inputs!$D$4</f>
        <v>0</v>
      </c>
      <c r="J13">
        <f>I13/(1000/Inputs!$D$2)</f>
        <v>0</v>
      </c>
      <c r="K13">
        <f>SUMIF(Equipment_Costs!$A:$A,D13,Equipment_Costs!$C:$C)</f>
        <v>0</v>
      </c>
      <c r="L13">
        <f>K13*VLOOKUP(D13,Strategy_Rates!$A:$G,2,FALSE)</f>
        <v>0</v>
      </c>
      <c r="M13">
        <f>(K13+L13)*VLOOKUP(D13,Strategy_Rates!$A:$G,3,FALSE)</f>
        <v>0</v>
      </c>
      <c r="N13">
        <f>K13+L13+M13</f>
        <v>0</v>
      </c>
      <c r="O13">
        <f>(C13/5000)^VLOOKUP(D13,Strategy_Rates!$A:$G,4,FALSE)</f>
        <v>0</v>
      </c>
      <c r="P13">
        <f>N13*O13</f>
        <v>0</v>
      </c>
      <c r="Q13">
        <f>(Inputs!$D$6+Inputs!$D$7)/Inputs!$D$5</f>
        <v>0</v>
      </c>
      <c r="R13">
        <f>Inputs!$D$12*(1000/Inputs!$D$2)</f>
        <v>0</v>
      </c>
      <c r="S13">
        <f>Q13+Inputs!$D$8+Inputs!$D$9+Inputs!$D$10+Inputs!$D$11+R13+Inputs!$D$13+Inputs!$D$14</f>
        <v>0</v>
      </c>
      <c r="T13">
        <f>Inputs!$D$15+P13*VLOOKUP(D13,Strategy_Rates!$A:$G,5,FALSE)/12</f>
        <v>0</v>
      </c>
      <c r="U13">
        <f>Inputs!$D$16*(S13*G13+T13)</f>
        <v>0</v>
      </c>
      <c r="V13">
        <f>P13+U13</f>
        <v>0</v>
      </c>
      <c r="W13">
        <f>I13*G13</f>
        <v>0</v>
      </c>
      <c r="X13">
        <f>(I13-S13)*G13</f>
        <v>0</v>
      </c>
      <c r="Y13">
        <f>W13-S13*G13-T13</f>
        <v>0</v>
      </c>
      <c r="Z13">
        <f>IF(I13&gt;0,(I13-S13)/I13,0)</f>
        <v>0</v>
      </c>
      <c r="AA13">
        <f>IF(I13&gt;S13,T13/(I13-S13),0)</f>
        <v>0</v>
      </c>
      <c r="AB13">
        <f>AA13*1000/Inputs!$D$2</f>
        <v>0</v>
      </c>
      <c r="AC13">
        <f>AA13*I13</f>
        <v>0</v>
      </c>
      <c r="AD13">
        <f>IF(Y13&gt;0,V13/(Y13*12),999)</f>
        <v>0</v>
      </c>
      <c r="AE13">
        <f>IF(V13&gt;0,(Y13*36-V13)/V13,0)</f>
        <v>0</v>
      </c>
      <c r="AF13">
        <f>IF(Inputs!$D$17=1,IF(Inputs!$D$19&gt;0,V13*Inputs!$D$18*Inputs!$D$19/(1-(1+Inputs!$D$19)^(-Inputs!$D$20))/12,V13*Inputs!$D$18/Inputs!$D$20/12),0)</f>
        <v>0</v>
      </c>
      <c r="AG13">
        <f>Y13-AF13</f>
        <v>0</v>
      </c>
      <c r="AH13">
        <f>IF(AF13&gt;0,Y13/AF13,0)</f>
        <v>0</v>
      </c>
      <c r="AI13">
        <f>IF(AND(Z13&gt;=0.35,AD13&lt;=3.5,Y13&gt;0),"GO",IF(AND(Z13&gt;=0.25,Y13&gt;0),"GO conditional",IF(Y13&gt;0,"Risk","NO-GO")))</f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Driver</t>
        </is>
      </c>
      <c r="B1" t="inlineStr">
        <is>
          <t>Downside</t>
        </is>
      </c>
      <c r="C1" t="inlineStr">
        <is>
          <t>Base</t>
        </is>
      </c>
      <c r="D1" t="inlineStr">
        <is>
          <t>Upside</t>
        </is>
      </c>
      <c r="E1" t="inlineStr">
        <is>
          <t>Unit</t>
        </is>
      </c>
      <c r="F1" t="inlineStr">
        <is>
          <t>Notes</t>
        </is>
      </c>
    </row>
    <row r="2">
      <c r="A2" t="inlineStr">
        <is>
          <t>selling_price_eur_per_ton</t>
        </is>
      </c>
      <c r="B2">
        <v>105</v>
      </c>
      <c r="C2">
        <v>120</v>
      </c>
      <c r="D2">
        <v>135</v>
      </c>
      <c r="E2" t="inlineStr">
        <is>
          <t>EUR/t</t>
        </is>
      </c>
      <c r="F2" t="inlineStr">
        <is>
          <t>Commercial pricing sensitivity</t>
        </is>
      </c>
    </row>
    <row r="3">
      <c r="A3" t="inlineStr">
        <is>
          <t>process_yield</t>
        </is>
      </c>
      <c r="B3">
        <v>0.68</v>
      </c>
      <c r="C3">
        <v>0.75</v>
      </c>
      <c r="D3">
        <v>0.82</v>
      </c>
      <c r="E3" t="inlineStr">
        <is>
          <t>ratio</t>
        </is>
      </c>
      <c r="F3" t="inlineStr">
        <is>
          <t>Technical yield sensitivity</t>
        </is>
      </c>
    </row>
    <row r="4">
      <c r="A4" t="inlineStr">
        <is>
          <t>utilization_pct</t>
        </is>
      </c>
      <c r="B4">
        <v>0.55</v>
      </c>
      <c r="C4">
        <v>0.7</v>
      </c>
      <c r="D4">
        <v>0.85</v>
      </c>
      <c r="E4" t="inlineStr">
        <is>
          <t>ratio</t>
        </is>
      </c>
      <c r="F4" t="inlineStr">
        <is>
          <t>Market demand and capacity absorption</t>
        </is>
      </c>
    </row>
    <row r="5">
      <c r="A5" t="inlineStr">
        <is>
          <t>capex_multiplier</t>
        </is>
      </c>
      <c r="B5">
        <v>1.2</v>
      </c>
      <c r="C5">
        <v>1</v>
      </c>
      <c r="D5">
        <v>0.9</v>
      </c>
      <c r="E5" t="inlineStr">
        <is>
          <t>ratio</t>
        </is>
      </c>
      <c r="F5" t="inlineStr">
        <is>
          <t>Quote and installation uncertainty</t>
        </is>
      </c>
    </row>
    <row r="6">
      <c r="A6" t="inlineStr">
        <is>
          <t>raw_material_cost_eur_per_finished_t</t>
        </is>
      </c>
      <c r="B6">
        <v>18</v>
      </c>
      <c r="C6">
        <v>16</v>
      </c>
      <c r="D6">
        <v>12</v>
      </c>
      <c r="E6" t="inlineStr">
        <is>
          <t>EUR/t</t>
        </is>
      </c>
      <c r="F6" t="inlineStr">
        <is>
          <t>Extraction plus quarry-to-plant transport after yield</t>
        </is>
      </c>
    </row>
    <row r="7">
      <c r="A7" t="inlineStr">
        <is>
          <t>fixed_opex_eur_per_month</t>
        </is>
      </c>
      <c r="B7">
        <v>12000</v>
      </c>
      <c r="C7">
        <v>8000</v>
      </c>
      <c r="D7">
        <v>6000</v>
      </c>
      <c r="E7" t="inlineStr">
        <is>
          <t>EUR/month</t>
        </is>
      </c>
      <c r="F7" t="inlineStr">
        <is>
          <t>Overhead discipline sensitivity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Recommended working case</t>
        </is>
      </c>
      <c r="B2" t="inlineStr">
        <is>
          <t>start_hybrid</t>
        </is>
      </c>
      <c r="C2" t="inlineStr">
        <is>
          <t>Balanced phase 1 scenario for discussion</t>
        </is>
      </c>
    </row>
    <row r="3">
      <c r="A3" t="inlineStr">
        <is>
          <t>Recommended capacity</t>
        </is>
      </c>
      <c r="B3">
        <f>INDEX(Scenario_Matrix!$C:$C,MATCH("start_hybrid",Scenario_Matrix!$A:$A,0))</f>
        <v>0</v>
      </c>
      <c r="C3" t="inlineStr">
        <is>
          <t>t/year</t>
        </is>
      </c>
    </row>
    <row r="4">
      <c r="A4" t="inlineStr">
        <is>
          <t>Recommended strategy</t>
        </is>
      </c>
      <c r="B4">
        <f>INDEX(Scenario_Matrix!$D:$D,MATCH("start_hybrid",Scenario_Matrix!$A:$A,0))</f>
        <v>0</v>
      </c>
      <c r="C4" t="inlineStr">
        <is>
          <t>equipment strategy</t>
        </is>
      </c>
    </row>
    <row r="5">
      <c r="A5" t="inlineStr">
        <is>
          <t>Recommended EBITDA/month</t>
        </is>
      </c>
      <c r="B5">
        <f>INDEX(Scenario_Matrix!$Y:$Y,MATCH("start_hybrid",Scenario_Matrix!$A:$A,0))</f>
        <v>0</v>
      </c>
      <c r="C5" t="inlineStr">
        <is>
          <t>EUR/month before debt</t>
        </is>
      </c>
    </row>
    <row r="6">
      <c r="A6" t="inlineStr">
        <is>
          <t>Recommended payback years</t>
        </is>
      </c>
      <c r="B6">
        <f>INDEX(Scenario_Matrix!$AD:$AD,MATCH("start_hybrid",Scenario_Matrix!$A:$A,0))</f>
        <v>0</v>
      </c>
      <c r="C6" t="inlineStr">
        <is>
          <t>years before debt</t>
        </is>
      </c>
    </row>
    <row r="7">
      <c r="A7" t="inlineStr">
        <is>
          <t>Recommended ROI 3y</t>
        </is>
      </c>
      <c r="B7">
        <f>INDEX(Scenario_Matrix!$AE:$AE,MATCH("start_hybrid",Scenario_Matrix!$A:$A,0))</f>
        <v>0</v>
      </c>
      <c r="C7" t="inlineStr">
        <is>
          <t>before debt</t>
        </is>
      </c>
    </row>
    <row r="8">
      <c r="A8" t="inlineStr">
        <is>
          <t>Best EBITDA scenario</t>
        </is>
      </c>
      <c r="B8">
        <f>INDEX(Scenario_Matrix!$A:$A,MATCH(MAX(Scenario_Matrix!$Y:$Y),Scenario_Matrix!$Y:$Y,0))</f>
        <v>0</v>
      </c>
      <c r="C8" t="inlineStr">
        <is>
          <t>highest monthly EBITDA</t>
        </is>
      </c>
    </row>
    <row r="9">
      <c r="A9" t="inlineStr">
        <is>
          <t>Best payback scenario</t>
        </is>
      </c>
      <c r="B9">
        <f>INDEX(Scenario_Matrix!$A:$A,MATCH(MIN(Scenario_Matrix!$AD:$AD),Scenario_Matrix!$AD:$AD,0))</f>
        <v>0</v>
      </c>
      <c r="C9" t="inlineStr">
        <is>
          <t>lowest payback years</t>
        </is>
      </c>
    </row>
    <row r="10">
      <c r="A10" t="inlineStr">
        <is>
          <t>Critical rule</t>
        </is>
      </c>
      <c r="B10" t="inlineStr">
        <is>
          <t>Do not buy equipment before lab quality and buyer validation</t>
        </is>
      </c>
      <c r="C10" t="inlineStr">
        <is>
          <t>Decision gate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RENOVIT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RENOVIT Economic Simulation Model</dc:title>
  <dc:creator>Codex</dc:creator>
  <cp:lastModifiedBy>Codex</cp:lastModifiedBy>
  <dcterms:created xsi:type="dcterms:W3CDTF">2026-04-10T11:25:19Z</dcterms:created>
  <dcterms:modified xsi:type="dcterms:W3CDTF">2026-04-10T11:25:19Z</dcterms:modified>
</cp:coreProperties>
</file>